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D:\Документы\Иннованта\госпитальный отдел\KPI\2026\"/>
    </mc:Choice>
  </mc:AlternateContent>
  <xr:revisionPtr revIDLastSave="0" documentId="13_ncr:1_{C7BE1CED-1FC7-449E-880E-797251CF8B51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KPI" sheetId="1" r:id="rId1"/>
    <sheet name="отгрузки" sheetId="2" r:id="rId2"/>
    <sheet name="прайс" sheetId="5" r:id="rId3"/>
    <sheet name="Лист1" sheetId="4" r:id="rId4"/>
  </sheets>
  <definedNames>
    <definedName name="_xlnm._FilterDatabase" localSheetId="1" hidden="1">отгрузки!$A$2:$J$145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114" i="2"/>
  <c r="G115" i="2"/>
  <c r="G116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83" i="2"/>
  <c r="G84" i="2"/>
  <c r="G85" i="2"/>
  <c r="G104" i="2"/>
  <c r="G105" i="2"/>
  <c r="G106" i="2"/>
  <c r="G117" i="2"/>
  <c r="G118" i="2"/>
  <c r="G119" i="2"/>
  <c r="G120" i="2"/>
  <c r="E10" i="4" l="1"/>
  <c r="E9" i="4"/>
  <c r="E7" i="4"/>
  <c r="E6" i="4"/>
  <c r="E11" i="4" l="1"/>
  <c r="F1" i="2"/>
  <c r="G3" i="2" l="1"/>
  <c r="G20" i="1" l="1"/>
  <c r="L20" i="1"/>
  <c r="Q20" i="1"/>
  <c r="V20" i="1"/>
  <c r="AA20" i="1"/>
  <c r="AF20" i="1"/>
  <c r="X13" i="1" l="1"/>
  <c r="Y13" i="1"/>
  <c r="Z13" i="1"/>
  <c r="W13" i="1"/>
  <c r="S13" i="1"/>
  <c r="T13" i="1"/>
  <c r="U13" i="1"/>
  <c r="R13" i="1"/>
  <c r="N13" i="1"/>
  <c r="O13" i="1"/>
  <c r="P13" i="1"/>
  <c r="M13" i="1"/>
  <c r="J13" i="1"/>
  <c r="K13" i="1"/>
  <c r="I13" i="1"/>
  <c r="H13" i="1"/>
  <c r="E13" i="1" l="1"/>
  <c r="D13" i="1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13" i="2"/>
  <c r="G112" i="2"/>
  <c r="G111" i="2"/>
  <c r="G129" i="2"/>
  <c r="G128" i="2"/>
  <c r="G127" i="2"/>
  <c r="G110" i="2"/>
  <c r="G109" i="2"/>
  <c r="G126" i="2"/>
  <c r="G108" i="2"/>
  <c r="G125" i="2"/>
  <c r="G124" i="2"/>
  <c r="G123" i="2"/>
  <c r="G107" i="2"/>
  <c r="G122" i="2"/>
  <c r="G121" i="2"/>
  <c r="AE22" i="1"/>
  <c r="AD22" i="1"/>
  <c r="AC22" i="1"/>
  <c r="AB22" i="1"/>
  <c r="Z22" i="1"/>
  <c r="Y22" i="1"/>
  <c r="X22" i="1"/>
  <c r="W22" i="1"/>
  <c r="U22" i="1"/>
  <c r="T22" i="1"/>
  <c r="S22" i="1"/>
  <c r="R22" i="1"/>
  <c r="P22" i="1"/>
  <c r="O22" i="1"/>
  <c r="N22" i="1"/>
  <c r="M22" i="1"/>
  <c r="K22" i="1"/>
  <c r="J22" i="1"/>
  <c r="I22" i="1"/>
  <c r="H22" i="1"/>
  <c r="F22" i="1"/>
  <c r="E22" i="1"/>
  <c r="D22" i="1"/>
  <c r="C22" i="1"/>
  <c r="AE21" i="1"/>
  <c r="AD21" i="1"/>
  <c r="AC21" i="1"/>
  <c r="AB21" i="1"/>
  <c r="Z21" i="1"/>
  <c r="Y21" i="1"/>
  <c r="X21" i="1"/>
  <c r="W21" i="1"/>
  <c r="U21" i="1"/>
  <c r="T21" i="1"/>
  <c r="S21" i="1"/>
  <c r="R21" i="1"/>
  <c r="P21" i="1"/>
  <c r="O21" i="1"/>
  <c r="N21" i="1"/>
  <c r="M21" i="1"/>
  <c r="K21" i="1"/>
  <c r="J21" i="1"/>
  <c r="I21" i="1"/>
  <c r="H21" i="1"/>
  <c r="F21" i="1"/>
  <c r="E21" i="1"/>
  <c r="D21" i="1"/>
  <c r="C21" i="1"/>
  <c r="AF19" i="1"/>
  <c r="AA19" i="1"/>
  <c r="V19" i="1"/>
  <c r="Q19" i="1"/>
  <c r="L19" i="1"/>
  <c r="G19" i="1"/>
  <c r="AA13" i="1"/>
  <c r="V13" i="1"/>
  <c r="L13" i="1"/>
  <c r="AA22" i="1" l="1"/>
  <c r="G22" i="1"/>
  <c r="AF21" i="1"/>
  <c r="Q22" i="1"/>
  <c r="V22" i="1"/>
  <c r="AF22" i="1"/>
  <c r="L22" i="1"/>
  <c r="Q21" i="1"/>
  <c r="V21" i="1"/>
  <c r="L21" i="1"/>
  <c r="AA21" i="1"/>
  <c r="G21" i="1"/>
  <c r="C13" i="1" l="1"/>
  <c r="Q13" i="1"/>
  <c r="F13" i="1" l="1"/>
  <c r="G13" i="1" s="1"/>
</calcChain>
</file>

<file path=xl/sharedStrings.xml><?xml version="1.0" encoding="utf-8"?>
<sst xmlns="http://schemas.openxmlformats.org/spreadsheetml/2006/main" count="983" uniqueCount="138">
  <si>
    <t>Расчет премии менеджера по ключевым клиентам</t>
  </si>
  <si>
    <t>Показатель</t>
  </si>
  <si>
    <t>Расчет</t>
  </si>
  <si>
    <t>Предельно- допустимое значение</t>
  </si>
  <si>
    <t xml:space="preserve">План отгрузки </t>
  </si>
  <si>
    <t>блок</t>
  </si>
  <si>
    <t xml:space="preserve">поставка дистрибьюторам СБКС и ВМК в зеленом коридоре </t>
  </si>
  <si>
    <t>по прайсу</t>
  </si>
  <si>
    <t xml:space="preserve">неконкурентные способы закупки СБКС и ВМК в зеленом коридоре </t>
  </si>
  <si>
    <t xml:space="preserve">поставка дистрибьюторам ЭП, Latema,Novionta Go в зеленом коридоре </t>
  </si>
  <si>
    <t xml:space="preserve">неконкурентные способы закупки ЭП, Latema,Novionta Go  в зеленом коридоре </t>
  </si>
  <si>
    <t xml:space="preserve">KPI </t>
  </si>
  <si>
    <t xml:space="preserve">ИТОГО расчет суммы к выплате </t>
  </si>
  <si>
    <t>поставка дистрибьюторам СБКС и ВМК</t>
  </si>
  <si>
    <t xml:space="preserve"> закупки у единственного поставщика СБКС и ВМК</t>
  </si>
  <si>
    <t>поставка дистрибьюторам ЭП, Latema,Novionta Go</t>
  </si>
  <si>
    <t>закупки у един. поставщика ЭП, Latema,Novionta Go</t>
  </si>
  <si>
    <t>1 квартал</t>
  </si>
  <si>
    <t>2 квартал</t>
  </si>
  <si>
    <t>3 квартал</t>
  </si>
  <si>
    <t>4 квартал</t>
  </si>
  <si>
    <t>Итого</t>
  </si>
  <si>
    <t>отгрузка, руб.</t>
  </si>
  <si>
    <t>СБКС, руб.</t>
  </si>
  <si>
    <t>ВМК, руб.</t>
  </si>
  <si>
    <t>LateMa, руб.</t>
  </si>
  <si>
    <t>Novionta GO, руб.</t>
  </si>
  <si>
    <t>Энтеральное питание, руб.</t>
  </si>
  <si>
    <t>2026 план</t>
  </si>
  <si>
    <t>2026 факт</t>
  </si>
  <si>
    <t>план/факт</t>
  </si>
  <si>
    <t>26факт/26 план нараст. итогом</t>
  </si>
  <si>
    <t xml:space="preserve">поставка дистрибьюторам СБКС, руб. </t>
  </si>
  <si>
    <t xml:space="preserve">поставка дистрибьюторам ВМК, руб. </t>
  </si>
  <si>
    <t xml:space="preserve">поставка дистрибьюторам Latema, руб. </t>
  </si>
  <si>
    <t xml:space="preserve">поставка дистрибьюторам Novionta Go, руб. </t>
  </si>
  <si>
    <t xml:space="preserve">поставка дистрибьюторам ЭП, руб. </t>
  </si>
  <si>
    <t>закупки у единственного поставщика СБКС, руб.</t>
  </si>
  <si>
    <t>закупки у единственного поставщика ВМК, руб.</t>
  </si>
  <si>
    <t xml:space="preserve">закупки у единственного поставщика Latema, руб. </t>
  </si>
  <si>
    <t xml:space="preserve">закупки у единственного поставщика Novionta Go, руб. </t>
  </si>
  <si>
    <t xml:space="preserve">закупки у единственного поставщика ЭП, руб. </t>
  </si>
  <si>
    <t>Период</t>
  </si>
  <si>
    <t>Клиент</t>
  </si>
  <si>
    <t>Тип клиента</t>
  </si>
  <si>
    <t>Номенклатура</t>
  </si>
  <si>
    <t>Количество</t>
  </si>
  <si>
    <t>Выручка</t>
  </si>
  <si>
    <t>цена за 1 кг</t>
  </si>
  <si>
    <t>ЮЛ</t>
  </si>
  <si>
    <t>Задача в Битрикс</t>
  </si>
  <si>
    <t>Комментарии</t>
  </si>
  <si>
    <t>Нутримикстура Комби</t>
  </si>
  <si>
    <t>дистрибьютер</t>
  </si>
  <si>
    <t>Нутримикстура NEW</t>
  </si>
  <si>
    <t>Иннованта Стандарт  200 мл</t>
  </si>
  <si>
    <t>Шелдонфарма</t>
  </si>
  <si>
    <t>Novionta GO 200 мл</t>
  </si>
  <si>
    <t>Иннованта Стандарт  500 мл</t>
  </si>
  <si>
    <t>Латема 200 мл</t>
  </si>
  <si>
    <t>Продукт</t>
  </si>
  <si>
    <t>Тип продукта</t>
  </si>
  <si>
    <t>зеленая зона ЛПУ</t>
  </si>
  <si>
    <t>зеленая зона для дистров</t>
  </si>
  <si>
    <t>Нутримикстура</t>
  </si>
  <si>
    <t>ВМК</t>
  </si>
  <si>
    <t xml:space="preserve"> ВМК</t>
  </si>
  <si>
    <t>Нутримикстура Плюс</t>
  </si>
  <si>
    <t>СБКС</t>
  </si>
  <si>
    <t>Нутримикстура Супер</t>
  </si>
  <si>
    <t>Нутримикстура Экстра</t>
  </si>
  <si>
    <t>Нутримикстура Экстра 2 в 1</t>
  </si>
  <si>
    <t>Нутримикстура Экстра с Са</t>
  </si>
  <si>
    <t>Нутримикстура Комби+</t>
  </si>
  <si>
    <t>ЭП</t>
  </si>
  <si>
    <t>Иннованта Стандарт  1000 мл</t>
  </si>
  <si>
    <t>Иннованта Стандарт/Энергия  350 г</t>
  </si>
  <si>
    <t>Иннованта Стандарт  с пищевыми волокнами 200 мл</t>
  </si>
  <si>
    <t>Иннованта Стандарт  с пищевыми волокнами 500 мл</t>
  </si>
  <si>
    <t>Иннованта Стандарт  с пищевыми волокнами 1000 мл</t>
  </si>
  <si>
    <t>Иннованта Стандарт/Энергия  с пищевыми волокнами 350 г</t>
  </si>
  <si>
    <t>Иннованта Энергия 200 мл</t>
  </si>
  <si>
    <t>Иннованта Энергия 500 мл</t>
  </si>
  <si>
    <t>Иннованта Энергия 1000 мл</t>
  </si>
  <si>
    <t>Иннованта Энергия с пищевыми волокнами 200 мл</t>
  </si>
  <si>
    <t>Иннованта Энергия  с пищевыми волокнами 500 мл</t>
  </si>
  <si>
    <t>Иннованта Энергия  с пищевыми волокнами 1000 мл</t>
  </si>
  <si>
    <t xml:space="preserve">Иннованта Полуэлементная 350 г   </t>
  </si>
  <si>
    <t>Novionta</t>
  </si>
  <si>
    <t>Latema</t>
  </si>
  <si>
    <t xml:space="preserve">РЕСУРС ООО </t>
  </si>
  <si>
    <t>ФАРМЛАЙН ООО</t>
  </si>
  <si>
    <t>Денисова Ирина Юрьевна ИП</t>
  </si>
  <si>
    <t>ОМС-МРЕГИОН ООО</t>
  </si>
  <si>
    <t>1 кв.</t>
  </si>
  <si>
    <t>НУТРИМЕДИКАЛ ООО</t>
  </si>
  <si>
    <t>КОМБИНАТ СОЦИАЛЬНОГО ПИТАНИЯ ООО</t>
  </si>
  <si>
    <t>ГК ФЬЮЖЕН МЕНЕДЖМЕНТ ООО</t>
  </si>
  <si>
    <t>РБЕ ООО</t>
  </si>
  <si>
    <t>ЭКОСФЕРА ООО</t>
  </si>
  <si>
    <t>Латема</t>
  </si>
  <si>
    <t>ВЕКТОР ООО</t>
  </si>
  <si>
    <t>ИНТЕРПРОДУКТ ООО</t>
  </si>
  <si>
    <t>АНКОМ ООО</t>
  </si>
  <si>
    <t>Городская Ивано-Матренинская детская клиническая больница</t>
  </si>
  <si>
    <t>Ярикова Валентина Александровна ИП</t>
  </si>
  <si>
    <t>ЛПУ</t>
  </si>
  <si>
    <t>Иннованта</t>
  </si>
  <si>
    <t>МЕГАТОРГ ПЛЮС ООО</t>
  </si>
  <si>
    <t xml:space="preserve">ПАНАЦЕЯ ООО </t>
  </si>
  <si>
    <t>САЙЛЕНТ 2000 ООО</t>
  </si>
  <si>
    <t>СТАРТ ООО</t>
  </si>
  <si>
    <t>ТЕНДЕРФУД ООО</t>
  </si>
  <si>
    <t>КОМПАНИЯ БАЛТФУД ООО</t>
  </si>
  <si>
    <t>СОЛОТРЕЙД ООО</t>
  </si>
  <si>
    <t>МФК СЕВЕРО-ЗАПАД НАО</t>
  </si>
  <si>
    <t xml:space="preserve">ВМК </t>
  </si>
  <si>
    <t>ЗЗ</t>
  </si>
  <si>
    <t>бонус</t>
  </si>
  <si>
    <t xml:space="preserve">Латема </t>
  </si>
  <si>
    <t>ДБ</t>
  </si>
  <si>
    <t>2 кв.</t>
  </si>
  <si>
    <t>БУЗ ВО ОДКБ №2</t>
  </si>
  <si>
    <t>Гармония</t>
  </si>
  <si>
    <t>Волховская МРБ</t>
  </si>
  <si>
    <t>ИП Кобзев</t>
  </si>
  <si>
    <t>Полуфабрикат</t>
  </si>
  <si>
    <t>Балтфуд</t>
  </si>
  <si>
    <t>Авангард</t>
  </si>
  <si>
    <t>БСС</t>
  </si>
  <si>
    <t>Колизей</t>
  </si>
  <si>
    <t>ДСО Царскосельский</t>
  </si>
  <si>
    <t>Астраханские аптеки</t>
  </si>
  <si>
    <t>ГКБ№8 Рязань</t>
  </si>
  <si>
    <t>НМИЦ Гематологии, Москва</t>
  </si>
  <si>
    <t>Новионта</t>
  </si>
  <si>
    <t>1 кв</t>
  </si>
  <si>
    <t>до персчета возвратов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</si>
</sst>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#,##0_ ;[Red]\-#,##0\ "/>
    <numFmt numFmtId="165" formatCode="0.0%"/>
    <numFmt numFmtId="166" formatCode="[$р.-419]#,##0.00"/>
    <numFmt numFmtId="167" formatCode="#,##0\ &quot;₽&quot;"/>
    <numFmt numFmtId="168" formatCode="_-* #,##0_-;\-* #,##0_-;_-* &quot;-&quot;??_-;_-@"/>
    <numFmt numFmtId="169" formatCode="0.000;[Red]\-0.000"/>
    <numFmt numFmtId="170" formatCode="_-* #,##0.00\ _₽_-;\-* #,##0.00\ _₽_-;_-* &quot;-&quot;??\ _₽_-;_-@_-"/>
    <numFmt numFmtId="171" formatCode="#,##0.0\ &quot;₽&quot;"/>
    <numFmt numFmtId="172" formatCode="#,##0.00\ &quot;₽&quot;"/>
  </numFmts>
  <fonts count="21" x14ac:knownFonts="1">
    <font>
      <sz val="11"/>
      <color theme="1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  <font>
      <sz val="12"/>
      <color theme="1"/>
      <name val="Aptos Narrow"/>
      <family val="2"/>
      <charset val="204"/>
      <scheme val="minor"/>
    </font>
    <font>
      <b/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b/>
      <i/>
      <sz val="12"/>
      <color theme="1"/>
      <name val="Calibri"/>
      <family val="2"/>
      <charset val="204"/>
    </font>
    <font>
      <i/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2"/>
      <name val="Calibri"/>
      <family val="2"/>
      <charset val="204"/>
    </font>
    <font>
      <b/>
      <sz val="11"/>
      <name val="Calibri"/>
      <family val="2"/>
      <charset val="204"/>
    </font>
    <font>
      <sz val="12"/>
      <color rgb="FF000000"/>
      <name val="Calibri"/>
      <family val="2"/>
      <charset val="204"/>
    </font>
    <font>
      <b/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b/>
      <sz val="12"/>
      <color rgb="FF000000"/>
      <name val="Calibri"/>
      <family val="2"/>
      <charset val="204"/>
    </font>
    <font>
      <i/>
      <sz val="12"/>
      <color rgb="FF000000"/>
      <name val="Calibri"/>
      <family val="2"/>
      <charset val="204"/>
    </font>
    <font>
      <sz val="12"/>
      <color theme="0"/>
      <name val="Calibri"/>
      <family val="2"/>
      <charset val="204"/>
    </font>
    <font>
      <sz val="11"/>
      <color rgb="FF000000"/>
      <name val="Aptos Narrow"/>
      <family val="2"/>
    </font>
    <font>
      <sz val="10"/>
      <color rgb="FF000000"/>
      <name val="Aptos Narrow"/>
      <family val="2"/>
    </font>
    <font>
      <sz val="8"/>
      <name val="Aptos Narrow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4.9989318521683403E-2"/>
        <bgColor rgb="FFD6DCE4"/>
      </patternFill>
    </fill>
    <fill>
      <patternFill patternType="solid">
        <fgColor theme="9" tint="0.39997558519241921"/>
        <bgColor rgb="FFD6DCE4"/>
      </patternFill>
    </fill>
    <fill>
      <patternFill patternType="solid">
        <fgColor theme="4" tint="0.79998168889431442"/>
        <bgColor rgb="FFD6DCE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6DCE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rgb="FFD6DCE4"/>
      </patternFill>
    </fill>
    <fill>
      <patternFill patternType="solid">
        <fgColor theme="8" tint="0.59999389629810485"/>
        <bgColor rgb="FFD6DCE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</borders>
  <cellStyleXfs count="4">
    <xf numFmtId="0" fontId="0" fillId="0" borderId="0"/>
    <xf numFmtId="9" fontId="1" fillId="0" borderId="0"/>
    <xf numFmtId="0" fontId="2" fillId="0" borderId="0"/>
    <xf numFmtId="43" fontId="1" fillId="0" borderId="0" applyFont="0" applyFill="0" applyBorder="0" applyAlignment="0" applyProtection="0"/>
  </cellStyleXfs>
  <cellXfs count="104">
    <xf numFmtId="0" fontId="0" fillId="0" borderId="0" xfId="0"/>
    <xf numFmtId="0" fontId="6" fillId="5" borderId="8" xfId="0" applyFont="1" applyFill="1" applyBorder="1"/>
    <xf numFmtId="0" fontId="5" fillId="7" borderId="7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vertical="top"/>
    </xf>
    <xf numFmtId="0" fontId="6" fillId="0" borderId="7" xfId="0" applyFont="1" applyBorder="1" applyAlignment="1">
      <alignment vertical="top" wrapText="1"/>
    </xf>
    <xf numFmtId="0" fontId="5" fillId="7" borderId="14" xfId="0" applyFont="1" applyFill="1" applyBorder="1" applyAlignment="1">
      <alignment horizontal="left" vertical="center"/>
    </xf>
    <xf numFmtId="0" fontId="11" fillId="5" borderId="7" xfId="0" applyFont="1" applyFill="1" applyBorder="1" applyAlignment="1">
      <alignment horizontal="center" vertical="center" wrapText="1"/>
    </xf>
    <xf numFmtId="0" fontId="9" fillId="5" borderId="7" xfId="0" applyFont="1" applyFill="1" applyBorder="1" applyAlignment="1">
      <alignment vertical="center"/>
    </xf>
    <xf numFmtId="3" fontId="9" fillId="5" borderId="7" xfId="0" applyNumberFormat="1" applyFont="1" applyFill="1" applyBorder="1" applyAlignment="1">
      <alignment horizontal="right" vertical="center"/>
    </xf>
    <xf numFmtId="3" fontId="4" fillId="0" borderId="7" xfId="0" applyNumberFormat="1" applyFont="1" applyBorder="1" applyAlignment="1">
      <alignment horizontal="right" vertical="center"/>
    </xf>
    <xf numFmtId="3" fontId="6" fillId="5" borderId="8" xfId="0" applyNumberFormat="1" applyFont="1" applyFill="1" applyBorder="1"/>
    <xf numFmtId="0" fontId="10" fillId="7" borderId="14" xfId="0" applyFont="1" applyFill="1" applyBorder="1" applyAlignment="1">
      <alignment horizontal="centerContinuous" vertical="top" wrapText="1"/>
    </xf>
    <xf numFmtId="0" fontId="0" fillId="0" borderId="7" xfId="0" applyBorder="1"/>
    <xf numFmtId="9" fontId="6" fillId="0" borderId="9" xfId="2" applyNumberFormat="1" applyFont="1" applyBorder="1" applyAlignment="1">
      <alignment horizontal="center" vertical="center"/>
    </xf>
    <xf numFmtId="9" fontId="6" fillId="0" borderId="7" xfId="2" applyNumberFormat="1" applyFont="1" applyBorder="1" applyAlignment="1">
      <alignment horizontal="center" vertical="center"/>
    </xf>
    <xf numFmtId="9" fontId="6" fillId="0" borderId="10" xfId="2" applyNumberFormat="1" applyFont="1" applyBorder="1" applyAlignment="1">
      <alignment horizontal="center" vertical="center"/>
    </xf>
    <xf numFmtId="9" fontId="6" fillId="5" borderId="4" xfId="1" applyFont="1" applyFill="1" applyBorder="1" applyAlignment="1">
      <alignment horizontal="center" vertical="center"/>
    </xf>
    <xf numFmtId="9" fontId="6" fillId="5" borderId="5" xfId="1" applyFont="1" applyFill="1" applyBorder="1" applyAlignment="1">
      <alignment horizontal="center" vertical="center"/>
    </xf>
    <xf numFmtId="9" fontId="6" fillId="5" borderId="6" xfId="1" applyFont="1" applyFill="1" applyBorder="1" applyAlignment="1">
      <alignment horizontal="center" vertical="center"/>
    </xf>
    <xf numFmtId="0" fontId="14" fillId="0" borderId="0" xfId="0" applyFont="1"/>
    <xf numFmtId="0" fontId="13" fillId="5" borderId="0" xfId="0" applyFont="1" applyFill="1" applyAlignment="1">
      <alignment vertical="center"/>
    </xf>
    <xf numFmtId="0" fontId="15" fillId="5" borderId="7" xfId="0" applyFont="1" applyFill="1" applyBorder="1" applyAlignment="1">
      <alignment horizontal="center" vertical="center"/>
    </xf>
    <xf numFmtId="0" fontId="15" fillId="5" borderId="7" xfId="0" applyFont="1" applyFill="1" applyBorder="1" applyAlignment="1">
      <alignment horizontal="center" vertical="center" wrapText="1"/>
    </xf>
    <xf numFmtId="0" fontId="12" fillId="5" borderId="7" xfId="0" applyFont="1" applyFill="1" applyBorder="1" applyAlignment="1">
      <alignment horizontal="left" vertical="center" wrapText="1"/>
    </xf>
    <xf numFmtId="0" fontId="12" fillId="5" borderId="7" xfId="0" applyFont="1" applyFill="1" applyBorder="1" applyAlignment="1">
      <alignment horizontal="center" vertical="center" wrapText="1"/>
    </xf>
    <xf numFmtId="9" fontId="6" fillId="5" borderId="7" xfId="1" applyFont="1" applyFill="1" applyBorder="1" applyAlignment="1">
      <alignment horizontal="center" vertical="center"/>
    </xf>
    <xf numFmtId="9" fontId="16" fillId="5" borderId="7" xfId="0" applyNumberFormat="1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65" fontId="12" fillId="5" borderId="7" xfId="0" applyNumberFormat="1" applyFont="1" applyFill="1" applyBorder="1" applyAlignment="1">
      <alignment horizontal="center" vertical="center" wrapText="1"/>
    </xf>
    <xf numFmtId="165" fontId="16" fillId="5" borderId="7" xfId="0" applyNumberFormat="1" applyFont="1" applyFill="1" applyBorder="1" applyAlignment="1">
      <alignment horizontal="center" vertical="center" wrapText="1"/>
    </xf>
    <xf numFmtId="166" fontId="5" fillId="10" borderId="17" xfId="2" applyNumberFormat="1" applyFont="1" applyFill="1" applyBorder="1" applyAlignment="1">
      <alignment horizontal="centerContinuous" vertical="center"/>
    </xf>
    <xf numFmtId="166" fontId="5" fillId="10" borderId="18" xfId="2" applyNumberFormat="1" applyFont="1" applyFill="1" applyBorder="1" applyAlignment="1">
      <alignment horizontal="centerContinuous" vertical="center"/>
    </xf>
    <xf numFmtId="166" fontId="5" fillId="3" borderId="17" xfId="2" applyNumberFormat="1" applyFont="1" applyFill="1" applyBorder="1" applyAlignment="1">
      <alignment horizontal="centerContinuous" vertical="center"/>
    </xf>
    <xf numFmtId="166" fontId="5" fillId="3" borderId="18" xfId="2" applyNumberFormat="1" applyFont="1" applyFill="1" applyBorder="1" applyAlignment="1">
      <alignment horizontal="centerContinuous" vertical="center"/>
    </xf>
    <xf numFmtId="166" fontId="5" fillId="3" borderId="20" xfId="2" applyNumberFormat="1" applyFont="1" applyFill="1" applyBorder="1" applyAlignment="1">
      <alignment horizontal="centerContinuous" vertical="center"/>
    </xf>
    <xf numFmtId="166" fontId="5" fillId="3" borderId="17" xfId="2" applyNumberFormat="1" applyFont="1" applyFill="1" applyBorder="1" applyAlignment="1">
      <alignment vertical="center"/>
    </xf>
    <xf numFmtId="166" fontId="5" fillId="3" borderId="18" xfId="2" applyNumberFormat="1" applyFont="1" applyFill="1" applyBorder="1" applyAlignment="1">
      <alignment vertical="center"/>
    </xf>
    <xf numFmtId="166" fontId="5" fillId="3" borderId="20" xfId="2" applyNumberFormat="1" applyFont="1" applyFill="1" applyBorder="1" applyAlignment="1">
      <alignment vertical="center"/>
    </xf>
    <xf numFmtId="166" fontId="6" fillId="9" borderId="9" xfId="2" applyNumberFormat="1" applyFont="1" applyFill="1" applyBorder="1" applyAlignment="1">
      <alignment horizontal="center" vertical="center"/>
    </xf>
    <xf numFmtId="166" fontId="6" fillId="9" borderId="7" xfId="2" applyNumberFormat="1" applyFont="1" applyFill="1" applyBorder="1" applyAlignment="1">
      <alignment horizontal="center" vertical="center"/>
    </xf>
    <xf numFmtId="166" fontId="6" fillId="9" borderId="8" xfId="2" applyNumberFormat="1" applyFont="1" applyFill="1" applyBorder="1" applyAlignment="1">
      <alignment horizontal="center" vertical="center"/>
    </xf>
    <xf numFmtId="166" fontId="6" fillId="2" borderId="9" xfId="2" applyNumberFormat="1" applyFont="1" applyFill="1" applyBorder="1" applyAlignment="1">
      <alignment horizontal="center" vertical="center"/>
    </xf>
    <xf numFmtId="166" fontId="6" fillId="2" borderId="7" xfId="2" applyNumberFormat="1" applyFont="1" applyFill="1" applyBorder="1" applyAlignment="1">
      <alignment horizontal="center" vertical="center"/>
    </xf>
    <xf numFmtId="166" fontId="6" fillId="2" borderId="10" xfId="2" applyNumberFormat="1" applyFont="1" applyFill="1" applyBorder="1" applyAlignment="1">
      <alignment horizontal="center" vertical="center"/>
    </xf>
    <xf numFmtId="167" fontId="5" fillId="0" borderId="4" xfId="0" applyNumberFormat="1" applyFont="1" applyBorder="1"/>
    <xf numFmtId="167" fontId="5" fillId="0" borderId="19" xfId="0" applyNumberFormat="1" applyFont="1" applyBorder="1"/>
    <xf numFmtId="168" fontId="6" fillId="5" borderId="9" xfId="2" applyNumberFormat="1" applyFont="1" applyFill="1" applyBorder="1" applyAlignment="1">
      <alignment horizontal="center" vertical="center"/>
    </xf>
    <xf numFmtId="168" fontId="6" fillId="5" borderId="10" xfId="2" applyNumberFormat="1" applyFont="1" applyFill="1" applyBorder="1" applyAlignment="1">
      <alignment horizontal="center" vertical="center"/>
    </xf>
    <xf numFmtId="166" fontId="6" fillId="0" borderId="0" xfId="0" applyNumberFormat="1" applyFont="1"/>
    <xf numFmtId="166" fontId="5" fillId="4" borderId="11" xfId="2" applyNumberFormat="1" applyFont="1" applyFill="1" applyBorder="1" applyAlignment="1">
      <alignment vertical="center"/>
    </xf>
    <xf numFmtId="166" fontId="5" fillId="4" borderId="1" xfId="2" applyNumberFormat="1" applyFont="1" applyFill="1" applyBorder="1" applyAlignment="1">
      <alignment horizontal="centerContinuous" vertical="center"/>
    </xf>
    <xf numFmtId="166" fontId="5" fillId="4" borderId="2" xfId="2" applyNumberFormat="1" applyFont="1" applyFill="1" applyBorder="1" applyAlignment="1">
      <alignment horizontal="centerContinuous" vertical="center"/>
    </xf>
    <xf numFmtId="166" fontId="5" fillId="4" borderId="3" xfId="2" applyNumberFormat="1" applyFont="1" applyFill="1" applyBorder="1" applyAlignment="1">
      <alignment horizontal="centerContinuous" vertical="center"/>
    </xf>
    <xf numFmtId="166" fontId="6" fillId="2" borderId="12" xfId="2" applyNumberFormat="1" applyFont="1" applyFill="1" applyBorder="1" applyAlignment="1">
      <alignment horizontal="center" vertical="center"/>
    </xf>
    <xf numFmtId="166" fontId="6" fillId="5" borderId="12" xfId="2" applyNumberFormat="1" applyFont="1" applyFill="1" applyBorder="1" applyAlignment="1">
      <alignment horizontal="center" vertical="center"/>
    </xf>
    <xf numFmtId="168" fontId="6" fillId="5" borderId="7" xfId="2" applyNumberFormat="1" applyFont="1" applyFill="1" applyBorder="1" applyAlignment="1">
      <alignment horizontal="center" vertical="center"/>
    </xf>
    <xf numFmtId="166" fontId="5" fillId="5" borderId="12" xfId="2" applyNumberFormat="1" applyFont="1" applyFill="1" applyBorder="1" applyAlignment="1">
      <alignment horizontal="center" vertical="center"/>
    </xf>
    <xf numFmtId="168" fontId="5" fillId="5" borderId="9" xfId="2" applyNumberFormat="1" applyFont="1" applyFill="1" applyBorder="1" applyAlignment="1">
      <alignment horizontal="center" vertical="center"/>
    </xf>
    <xf numFmtId="168" fontId="5" fillId="5" borderId="7" xfId="2" applyNumberFormat="1" applyFont="1" applyFill="1" applyBorder="1" applyAlignment="1">
      <alignment horizontal="center" vertical="center"/>
    </xf>
    <xf numFmtId="168" fontId="7" fillId="5" borderId="10" xfId="2" applyNumberFormat="1" applyFont="1" applyFill="1" applyBorder="1" applyAlignment="1">
      <alignment horizontal="center" vertical="center"/>
    </xf>
    <xf numFmtId="166" fontId="6" fillId="6" borderId="12" xfId="2" applyNumberFormat="1" applyFont="1" applyFill="1" applyBorder="1" applyAlignment="1">
      <alignment horizontal="center" vertical="center"/>
    </xf>
    <xf numFmtId="166" fontId="5" fillId="0" borderId="0" xfId="0" applyNumberFormat="1" applyFont="1"/>
    <xf numFmtId="166" fontId="8" fillId="6" borderId="13" xfId="2" applyNumberFormat="1" applyFont="1" applyFill="1" applyBorder="1" applyAlignment="1">
      <alignment horizontal="center" vertical="center"/>
    </xf>
    <xf numFmtId="167" fontId="6" fillId="0" borderId="4" xfId="0" applyNumberFormat="1" applyFont="1" applyBorder="1"/>
    <xf numFmtId="167" fontId="6" fillId="0" borderId="5" xfId="0" applyNumberFormat="1" applyFont="1" applyBorder="1"/>
    <xf numFmtId="167" fontId="6" fillId="5" borderId="6" xfId="2" applyNumberFormat="1" applyFont="1" applyFill="1" applyBorder="1" applyAlignment="1">
      <alignment horizontal="center" vertical="center"/>
    </xf>
    <xf numFmtId="169" fontId="6" fillId="5" borderId="7" xfId="0" applyNumberFormat="1" applyFont="1" applyFill="1" applyBorder="1" applyAlignment="1">
      <alignment horizontal="right" vertical="top"/>
    </xf>
    <xf numFmtId="164" fontId="6" fillId="5" borderId="7" xfId="0" applyNumberFormat="1" applyFont="1" applyFill="1" applyBorder="1" applyAlignment="1">
      <alignment horizontal="right" vertical="top"/>
    </xf>
    <xf numFmtId="167" fontId="6" fillId="5" borderId="7" xfId="0" applyNumberFormat="1" applyFont="1" applyFill="1" applyBorder="1" applyAlignment="1">
      <alignment horizontal="right" vertical="top"/>
    </xf>
    <xf numFmtId="167" fontId="6" fillId="5" borderId="7" xfId="0" applyNumberFormat="1" applyFont="1" applyFill="1" applyBorder="1"/>
    <xf numFmtId="167" fontId="6" fillId="0" borderId="4" xfId="0" applyNumberFormat="1" applyFont="1" applyBorder="1" applyAlignment="1">
      <alignment wrapText="1"/>
    </xf>
    <xf numFmtId="3" fontId="6" fillId="0" borderId="0" xfId="0" applyNumberFormat="1" applyFont="1"/>
    <xf numFmtId="0" fontId="6" fillId="0" borderId="0" xfId="0" applyFont="1"/>
    <xf numFmtId="168" fontId="6" fillId="5" borderId="4" xfId="2" applyNumberFormat="1" applyFont="1" applyFill="1" applyBorder="1" applyAlignment="1">
      <alignment horizontal="center" vertical="center"/>
    </xf>
    <xf numFmtId="168" fontId="6" fillId="5" borderId="5" xfId="2" applyNumberFormat="1" applyFont="1" applyFill="1" applyBorder="1" applyAlignment="1">
      <alignment horizontal="center" vertical="center"/>
    </xf>
    <xf numFmtId="0" fontId="17" fillId="0" borderId="0" xfId="0" applyFont="1"/>
    <xf numFmtId="3" fontId="17" fillId="0" borderId="0" xfId="0" applyNumberFormat="1" applyFont="1"/>
    <xf numFmtId="43" fontId="0" fillId="0" borderId="0" xfId="3" applyFont="1"/>
    <xf numFmtId="169" fontId="6" fillId="0" borderId="7" xfId="0" applyNumberFormat="1" applyFont="1" applyBorder="1" applyAlignment="1">
      <alignment horizontal="right" vertical="top"/>
    </xf>
    <xf numFmtId="0" fontId="6" fillId="0" borderId="7" xfId="0" applyFont="1" applyBorder="1" applyAlignment="1">
      <alignment vertical="top"/>
    </xf>
    <xf numFmtId="164" fontId="6" fillId="0" borderId="7" xfId="0" applyNumberFormat="1" applyFont="1" applyBorder="1" applyAlignment="1">
      <alignment horizontal="right" vertical="top"/>
    </xf>
    <xf numFmtId="167" fontId="6" fillId="0" borderId="7" xfId="0" applyNumberFormat="1" applyFont="1" applyBorder="1" applyAlignment="1">
      <alignment horizontal="right" vertical="top"/>
    </xf>
    <xf numFmtId="167" fontId="6" fillId="0" borderId="7" xfId="0" applyNumberFormat="1" applyFont="1" applyBorder="1"/>
    <xf numFmtId="0" fontId="6" fillId="0" borderId="8" xfId="0" applyFont="1" applyBorder="1"/>
    <xf numFmtId="3" fontId="6" fillId="0" borderId="8" xfId="0" applyNumberFormat="1" applyFont="1" applyBorder="1"/>
    <xf numFmtId="0" fontId="6" fillId="11" borderId="7" xfId="0" applyFont="1" applyFill="1" applyBorder="1" applyAlignment="1">
      <alignment vertical="top"/>
    </xf>
    <xf numFmtId="0" fontId="6" fillId="11" borderId="7" xfId="0" applyFont="1" applyFill="1" applyBorder="1" applyAlignment="1">
      <alignment vertical="top" wrapText="1"/>
    </xf>
    <xf numFmtId="9" fontId="0" fillId="0" borderId="0" xfId="0" applyNumberFormat="1"/>
    <xf numFmtId="0" fontId="0" fillId="0" borderId="0" xfId="0" applyAlignment="1">
      <alignment horizontal="center"/>
    </xf>
    <xf numFmtId="43" fontId="0" fillId="0" borderId="0" xfId="3" applyFont="1" applyAlignment="1">
      <alignment horizontal="center"/>
    </xf>
    <xf numFmtId="170" fontId="0" fillId="0" borderId="0" xfId="0" applyNumberFormat="1"/>
    <xf numFmtId="10" fontId="0" fillId="0" borderId="0" xfId="0" applyNumberFormat="1"/>
    <xf numFmtId="167" fontId="6" fillId="11" borderId="7" xfId="0" applyNumberFormat="1" applyFont="1" applyFill="1" applyBorder="1"/>
    <xf numFmtId="164" fontId="6" fillId="12" borderId="7" xfId="0" applyNumberFormat="1" applyFont="1" applyFill="1" applyBorder="1" applyAlignment="1">
      <alignment horizontal="right" vertical="top"/>
    </xf>
    <xf numFmtId="0" fontId="13" fillId="5" borderId="0" xfId="0" applyFont="1" applyFill="1" applyAlignment="1">
      <alignment horizontal="center" vertical="center"/>
    </xf>
    <xf numFmtId="0" fontId="6" fillId="0" borderId="0" xfId="0" applyFont="1"/>
    <xf numFmtId="0" fontId="12" fillId="8" borderId="8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171" fontId="6" fillId="5" borderId="7" xfId="0" applyNumberFormat="1" applyFont="1" applyFill="1" applyBorder="1" applyAlignment="1">
      <alignment horizontal="right" vertical="top"/>
    </xf>
    <xf numFmtId="171" fontId="6" fillId="0" borderId="7" xfId="0" applyNumberFormat="1" applyFont="1" applyBorder="1"/>
    <xf numFmtId="172" fontId="6" fillId="0" borderId="7" xfId="0" applyNumberFormat="1" applyFont="1" applyBorder="1"/>
    <xf numFmtId="172" fontId="6" fillId="5" borderId="7" xfId="0" applyNumberFormat="1" applyFont="1" applyFill="1" applyBorder="1"/>
  </cellXfs>
  <cellStyles count="4">
    <cellStyle name="Обычный" xfId="0" builtinId="0"/>
    <cellStyle name="Обычный 2" xfId="2" xr:uid="{00000000-0005-0000-0000-000001000000}"/>
    <cellStyle name="Процентный" xfId="1" builtinId="5"/>
    <cellStyle name="Финансовый" xfId="3" builtinId="3"/>
  </cellStyles>
  <dxfs count="1"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556260</xdr:colOff>
          <xdr:row>23</xdr:row>
          <xdr:rowOff>38100</xdr:rowOff>
        </xdr:from>
        <xdr:to>
          <xdr:col>1</xdr:col>
          <xdr:colOff>2346960</xdr:colOff>
          <xdr:row>24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рассчитат</a:t>
              </a:r>
              <a:r>
                <a:rPr lang="ru-RU" sz="1000" b="0" i="0" u="none" strike="noStrike" baseline="0">
                  <a:solidFill>
                    <a:srgbClr val="000000"/>
                  </a:solidFill>
                  <a:latin typeface="Aptos Narrow"/>
                </a:rPr>
                <a:t>ь KPI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556260</xdr:colOff>
          <xdr:row>25</xdr:row>
          <xdr:rowOff>175260</xdr:rowOff>
        </xdr:from>
        <xdr:to>
          <xdr:col>1</xdr:col>
          <xdr:colOff>2331720</xdr:colOff>
          <xdr:row>27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сбросить расчет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AF188"/>
  <sheetViews>
    <sheetView tabSelected="1" zoomScale="53" zoomScaleNormal="53" workbookViewId="0">
      <selection activeCell="W17" sqref="W17"/>
    </sheetView>
  </sheetViews>
  <sheetFormatPr defaultColWidth="8.88671875" defaultRowHeight="15.6" x14ac:dyDescent="0.3"/>
  <cols>
    <col min="1" max="1" width="8.88671875" style="73" customWidth="1"/>
    <col min="2" max="2" width="40.44140625" style="73" bestFit="1" customWidth="1"/>
    <col min="3" max="3" width="13.5546875" style="73" bestFit="1" customWidth="1"/>
    <col min="4" max="4" width="17.6640625" style="73" customWidth="1"/>
    <col min="5" max="5" width="13.6640625" style="73" bestFit="1" customWidth="1"/>
    <col min="6" max="6" width="15.109375" style="73" bestFit="1" customWidth="1"/>
    <col min="7" max="7" width="15.88671875" style="73" bestFit="1" customWidth="1"/>
    <col min="8" max="8" width="13.6640625" style="73" bestFit="1" customWidth="1"/>
    <col min="9" max="9" width="14.88671875" style="73" customWidth="1"/>
    <col min="10" max="10" width="14.5546875" style="73" bestFit="1" customWidth="1"/>
    <col min="11" max="11" width="15.6640625" style="73" bestFit="1" customWidth="1"/>
    <col min="12" max="12" width="15.109375" style="73" bestFit="1" customWidth="1"/>
    <col min="13" max="13" width="14.33203125" style="73" customWidth="1"/>
    <col min="14" max="14" width="14.5546875" style="73" customWidth="1"/>
    <col min="15" max="15" width="13.44140625" style="73" customWidth="1"/>
    <col min="16" max="16" width="12.44140625" style="73" bestFit="1" customWidth="1"/>
    <col min="17" max="17" width="14.33203125" style="73" bestFit="1" customWidth="1"/>
    <col min="18" max="18" width="14.33203125" style="73" customWidth="1"/>
    <col min="19" max="19" width="12.44140625" style="73" bestFit="1" customWidth="1"/>
    <col min="20" max="20" width="12.88671875" style="73" bestFit="1" customWidth="1"/>
    <col min="21" max="21" width="12.6640625" style="73" bestFit="1" customWidth="1"/>
    <col min="22" max="22" width="13.6640625" style="73" bestFit="1" customWidth="1"/>
    <col min="23" max="23" width="11.44140625" style="73" customWidth="1"/>
    <col min="24" max="24" width="12.6640625" style="73" customWidth="1"/>
    <col min="25" max="25" width="12.33203125" style="73" customWidth="1"/>
    <col min="26" max="26" width="11.33203125" style="73" customWidth="1"/>
    <col min="27" max="27" width="12.6640625" style="73" customWidth="1"/>
    <col min="28" max="28" width="13.6640625" style="73" bestFit="1" customWidth="1"/>
    <col min="29" max="29" width="14" style="73" customWidth="1"/>
    <col min="30" max="30" width="14.33203125" style="73" customWidth="1"/>
    <col min="31" max="31" width="14.33203125" style="73" bestFit="1" customWidth="1"/>
    <col min="32" max="32" width="15.33203125" style="73" customWidth="1"/>
    <col min="33" max="36" width="8.88671875" style="73" customWidth="1"/>
    <col min="37" max="16384" width="8.88671875" style="73"/>
  </cols>
  <sheetData>
    <row r="2" spans="2:27" ht="23.4" customHeight="1" x14ac:dyDescent="0.3">
      <c r="B2" s="95" t="s">
        <v>0</v>
      </c>
      <c r="C2" s="96"/>
      <c r="D2" s="96"/>
      <c r="E2" s="96"/>
      <c r="F2" s="96"/>
    </row>
    <row r="3" spans="2:27" ht="23.4" customHeight="1" x14ac:dyDescent="0.3">
      <c r="B3" s="20"/>
      <c r="C3" s="21"/>
      <c r="D3" s="21"/>
      <c r="E3" s="21"/>
      <c r="F3" s="21"/>
    </row>
    <row r="4" spans="2:27" ht="43.2" customHeight="1" x14ac:dyDescent="0.3">
      <c r="B4" s="22" t="s">
        <v>1</v>
      </c>
      <c r="C4" s="23" t="s">
        <v>2</v>
      </c>
      <c r="D4" s="23" t="s">
        <v>3</v>
      </c>
    </row>
    <row r="5" spans="2:27" ht="18" customHeight="1" x14ac:dyDescent="0.3">
      <c r="B5" s="24" t="s">
        <v>4</v>
      </c>
      <c r="C5" s="25" t="s">
        <v>5</v>
      </c>
      <c r="D5" s="26">
        <v>0.9</v>
      </c>
    </row>
    <row r="6" spans="2:27" ht="28.95" customHeight="1" x14ac:dyDescent="0.3">
      <c r="B6" s="24" t="s">
        <v>6</v>
      </c>
      <c r="C6" s="29">
        <v>0.05</v>
      </c>
      <c r="D6" s="26" t="s">
        <v>7</v>
      </c>
    </row>
    <row r="7" spans="2:27" ht="28.95" customHeight="1" x14ac:dyDescent="0.3">
      <c r="B7" s="24" t="s">
        <v>8</v>
      </c>
      <c r="C7" s="29">
        <v>0.05</v>
      </c>
      <c r="D7" s="26" t="s">
        <v>7</v>
      </c>
    </row>
    <row r="8" spans="2:27" ht="28.95" customHeight="1" x14ac:dyDescent="0.3">
      <c r="B8" s="24" t="s">
        <v>9</v>
      </c>
      <c r="C8" s="30">
        <v>1.4999999999999999E-2</v>
      </c>
      <c r="D8" s="26" t="s">
        <v>7</v>
      </c>
    </row>
    <row r="9" spans="2:27" ht="28.95" customHeight="1" x14ac:dyDescent="0.3">
      <c r="B9" s="24" t="s">
        <v>10</v>
      </c>
      <c r="C9" s="27">
        <v>0.02</v>
      </c>
      <c r="D9" s="26" t="s">
        <v>7</v>
      </c>
    </row>
    <row r="10" spans="2:27" ht="15" customHeight="1" thickBot="1" x14ac:dyDescent="0.35"/>
    <row r="11" spans="2:27" ht="15.6" customHeight="1" x14ac:dyDescent="0.3">
      <c r="B11" s="97" t="s">
        <v>11</v>
      </c>
      <c r="C11" s="31" t="s">
        <v>12</v>
      </c>
      <c r="D11" s="32"/>
      <c r="E11" s="32"/>
      <c r="F11" s="32"/>
      <c r="G11" s="32"/>
      <c r="H11" s="33" t="s">
        <v>13</v>
      </c>
      <c r="I11" s="34"/>
      <c r="J11" s="34"/>
      <c r="K11" s="34"/>
      <c r="L11" s="35"/>
      <c r="M11" s="33" t="s">
        <v>14</v>
      </c>
      <c r="N11" s="34"/>
      <c r="O11" s="34"/>
      <c r="P11" s="34"/>
      <c r="Q11" s="35"/>
      <c r="R11" s="33" t="s">
        <v>15</v>
      </c>
      <c r="S11" s="34"/>
      <c r="T11" s="34"/>
      <c r="U11" s="34"/>
      <c r="V11" s="35"/>
      <c r="W11" s="36" t="s">
        <v>16</v>
      </c>
      <c r="X11" s="37"/>
      <c r="Y11" s="37"/>
      <c r="Z11" s="37"/>
      <c r="AA11" s="38"/>
    </row>
    <row r="12" spans="2:27" ht="15.6" customHeight="1" x14ac:dyDescent="0.3">
      <c r="B12" s="98"/>
      <c r="C12" s="39" t="s">
        <v>17</v>
      </c>
      <c r="D12" s="40" t="s">
        <v>18</v>
      </c>
      <c r="E12" s="40" t="s">
        <v>19</v>
      </c>
      <c r="F12" s="40" t="s">
        <v>20</v>
      </c>
      <c r="G12" s="41" t="s">
        <v>21</v>
      </c>
      <c r="H12" s="42" t="s">
        <v>17</v>
      </c>
      <c r="I12" s="43" t="s">
        <v>18</v>
      </c>
      <c r="J12" s="43" t="s">
        <v>19</v>
      </c>
      <c r="K12" s="43" t="s">
        <v>20</v>
      </c>
      <c r="L12" s="44" t="s">
        <v>21</v>
      </c>
      <c r="M12" s="42" t="s">
        <v>17</v>
      </c>
      <c r="N12" s="43" t="s">
        <v>18</v>
      </c>
      <c r="O12" s="43" t="s">
        <v>19</v>
      </c>
      <c r="P12" s="43" t="s">
        <v>20</v>
      </c>
      <c r="Q12" s="44" t="s">
        <v>21</v>
      </c>
      <c r="R12" s="42" t="s">
        <v>17</v>
      </c>
      <c r="S12" s="43" t="s">
        <v>18</v>
      </c>
      <c r="T12" s="43" t="s">
        <v>19</v>
      </c>
      <c r="U12" s="43" t="s">
        <v>20</v>
      </c>
      <c r="V12" s="44" t="s">
        <v>21</v>
      </c>
      <c r="W12" s="42" t="s">
        <v>17</v>
      </c>
      <c r="X12" s="43" t="s">
        <v>18</v>
      </c>
      <c r="Y12" s="43" t="s">
        <v>19</v>
      </c>
      <c r="Z12" s="43" t="s">
        <v>20</v>
      </c>
      <c r="AA12" s="44" t="s">
        <v>21</v>
      </c>
    </row>
    <row r="13" spans="2:27" ht="16.2" customHeight="1" thickBot="1" x14ac:dyDescent="0.35">
      <c r="B13" s="99"/>
      <c r="C13" s="45">
        <f>IF(C20&gt;=C19*D5,H13+M13+R13+W13,0)</f>
        <v>149093.91999999998</v>
      </c>
      <c r="D13" s="45">
        <f>IF(D20&gt;=D19*D5,I13+N13+S13+X13,0)</f>
        <v>215902.164532</v>
      </c>
      <c r="E13" s="45">
        <f>IF(E20&gt;=E19*D5,J13+O13+T13+Y13,0)</f>
        <v>0</v>
      </c>
      <c r="F13" s="46">
        <f>IF(G20&gt;=G19*D5,L13+Q13+V13+AA13-C13-D13-E13,IF(F20&gt;=F19*D5,K13+P13+U13+Z13,0))</f>
        <v>0</v>
      </c>
      <c r="G13" s="46">
        <f>SUM(C13:F13)</f>
        <v>364996.08453200001</v>
      </c>
      <c r="H13" s="47">
        <f>$C$6*H26+$C$6*M26</f>
        <v>116456.5</v>
      </c>
      <c r="I13" s="47">
        <f>$C$6*I26+$C$6*N26</f>
        <v>180597.5</v>
      </c>
      <c r="J13" s="47">
        <f t="shared" ref="J13" si="0">$C$6*J26+$C$6*O26</f>
        <v>0</v>
      </c>
      <c r="K13" s="47">
        <f t="shared" ref="K13" si="1">$C$6*K26+$C$6*P26</f>
        <v>0</v>
      </c>
      <c r="L13" s="48">
        <f>SUM(H13:K13)</f>
        <v>297054</v>
      </c>
      <c r="M13" s="47">
        <f>$C$7*H30+$C$7*M30</f>
        <v>4800</v>
      </c>
      <c r="N13" s="47">
        <f t="shared" ref="N13:P13" si="2">$C$7*I30+$C$7*N30</f>
        <v>16464</v>
      </c>
      <c r="O13" s="47">
        <f t="shared" si="2"/>
        <v>0</v>
      </c>
      <c r="P13" s="47">
        <f t="shared" si="2"/>
        <v>0</v>
      </c>
      <c r="Q13" s="48">
        <f>SUM(M13:P13)</f>
        <v>21264</v>
      </c>
      <c r="R13" s="47">
        <f>$C$8*(R26+W26+AB26)</f>
        <v>27837.42</v>
      </c>
      <c r="S13" s="47">
        <f t="shared" ref="S13:U13" si="3">$C$8*(S26+X26+AC26)</f>
        <v>16563.452999999998</v>
      </c>
      <c r="T13" s="47">
        <f t="shared" si="3"/>
        <v>0</v>
      </c>
      <c r="U13" s="47">
        <f t="shared" si="3"/>
        <v>0</v>
      </c>
      <c r="V13" s="48">
        <f>SUM(R13:U13)</f>
        <v>44400.872999999992</v>
      </c>
      <c r="W13" s="47">
        <f>$C$9*(R30+W30+AB30)</f>
        <v>0</v>
      </c>
      <c r="X13" s="47">
        <f t="shared" ref="X13:Z13" si="4">$C$9*(S30+X30+AC30)</f>
        <v>2277.2115320000003</v>
      </c>
      <c r="Y13" s="47">
        <f t="shared" si="4"/>
        <v>0</v>
      </c>
      <c r="Z13" s="47">
        <f t="shared" si="4"/>
        <v>0</v>
      </c>
      <c r="AA13" s="48">
        <f>SUM(W13:Z13)</f>
        <v>2277.2115320000003</v>
      </c>
    </row>
    <row r="16" spans="2:27" ht="15" customHeight="1" thickBot="1" x14ac:dyDescent="0.35"/>
    <row r="17" spans="2:32" s="49" customFormat="1" ht="14.25" customHeight="1" x14ac:dyDescent="0.3">
      <c r="B17" s="50"/>
      <c r="C17" s="51" t="s">
        <v>22</v>
      </c>
      <c r="D17" s="52"/>
      <c r="E17" s="52"/>
      <c r="F17" s="52"/>
      <c r="G17" s="53"/>
      <c r="H17" s="51" t="s">
        <v>23</v>
      </c>
      <c r="I17" s="52"/>
      <c r="J17" s="52"/>
      <c r="K17" s="52"/>
      <c r="L17" s="53"/>
      <c r="M17" s="51" t="s">
        <v>24</v>
      </c>
      <c r="N17" s="52"/>
      <c r="O17" s="52"/>
      <c r="P17" s="52"/>
      <c r="Q17" s="53"/>
      <c r="R17" s="51" t="s">
        <v>25</v>
      </c>
      <c r="S17" s="52"/>
      <c r="T17" s="52"/>
      <c r="U17" s="52"/>
      <c r="V17" s="53"/>
      <c r="W17" s="51" t="s">
        <v>26</v>
      </c>
      <c r="X17" s="52"/>
      <c r="Y17" s="52"/>
      <c r="Z17" s="52"/>
      <c r="AA17" s="53"/>
      <c r="AB17" s="51" t="s">
        <v>27</v>
      </c>
      <c r="AC17" s="52"/>
      <c r="AD17" s="52"/>
      <c r="AE17" s="52"/>
      <c r="AF17" s="53"/>
    </row>
    <row r="18" spans="2:32" s="49" customFormat="1" x14ac:dyDescent="0.3">
      <c r="B18" s="54"/>
      <c r="C18" s="42" t="s">
        <v>17</v>
      </c>
      <c r="D18" s="43" t="s">
        <v>18</v>
      </c>
      <c r="E18" s="43" t="s">
        <v>19</v>
      </c>
      <c r="F18" s="43" t="s">
        <v>20</v>
      </c>
      <c r="G18" s="44" t="s">
        <v>21</v>
      </c>
      <c r="H18" s="42" t="s">
        <v>17</v>
      </c>
      <c r="I18" s="43" t="s">
        <v>18</v>
      </c>
      <c r="J18" s="43" t="s">
        <v>19</v>
      </c>
      <c r="K18" s="43" t="s">
        <v>20</v>
      </c>
      <c r="L18" s="44" t="s">
        <v>21</v>
      </c>
      <c r="M18" s="42" t="s">
        <v>17</v>
      </c>
      <c r="N18" s="43" t="s">
        <v>18</v>
      </c>
      <c r="O18" s="43" t="s">
        <v>19</v>
      </c>
      <c r="P18" s="43" t="s">
        <v>20</v>
      </c>
      <c r="Q18" s="44" t="s">
        <v>21</v>
      </c>
      <c r="R18" s="42" t="s">
        <v>17</v>
      </c>
      <c r="S18" s="43" t="s">
        <v>18</v>
      </c>
      <c r="T18" s="43" t="s">
        <v>19</v>
      </c>
      <c r="U18" s="43" t="s">
        <v>20</v>
      </c>
      <c r="V18" s="44" t="s">
        <v>21</v>
      </c>
      <c r="W18" s="42" t="s">
        <v>17</v>
      </c>
      <c r="X18" s="43" t="s">
        <v>18</v>
      </c>
      <c r="Y18" s="43" t="s">
        <v>19</v>
      </c>
      <c r="Z18" s="43" t="s">
        <v>20</v>
      </c>
      <c r="AA18" s="44" t="s">
        <v>21</v>
      </c>
      <c r="AB18" s="42" t="s">
        <v>17</v>
      </c>
      <c r="AC18" s="43" t="s">
        <v>18</v>
      </c>
      <c r="AD18" s="43" t="s">
        <v>19</v>
      </c>
      <c r="AE18" s="43" t="s">
        <v>20</v>
      </c>
      <c r="AF18" s="44" t="s">
        <v>21</v>
      </c>
    </row>
    <row r="19" spans="2:32" s="49" customFormat="1" ht="15.6" customHeight="1" x14ac:dyDescent="0.3">
      <c r="B19" s="55" t="s">
        <v>28</v>
      </c>
      <c r="C19" s="47">
        <v>3150880.6304349117</v>
      </c>
      <c r="D19" s="56">
        <v>6872666.3843502756</v>
      </c>
      <c r="E19" s="56">
        <v>10687116.353836548</v>
      </c>
      <c r="F19" s="56">
        <v>13021728.303289857</v>
      </c>
      <c r="G19" s="48">
        <f>C19+D19+E19+F19</f>
        <v>33732391.671911597</v>
      </c>
      <c r="H19" s="47">
        <v>1045606.4546450356</v>
      </c>
      <c r="I19" s="56">
        <v>891844.22111304267</v>
      </c>
      <c r="J19" s="56"/>
      <c r="K19" s="56"/>
      <c r="L19" s="48">
        <f>H19+I19+J19+K19</f>
        <v>1937450.6757580782</v>
      </c>
      <c r="M19" s="47">
        <v>153929.11218401772</v>
      </c>
      <c r="N19" s="56">
        <v>250000</v>
      </c>
      <c r="O19" s="56"/>
      <c r="P19" s="56"/>
      <c r="Q19" s="48">
        <f>M19+N19+O19+P19</f>
        <v>403929.11218401772</v>
      </c>
      <c r="R19" s="47">
        <v>67637.610523599928</v>
      </c>
      <c r="S19" s="56">
        <v>177844.78902035457</v>
      </c>
      <c r="T19" s="56"/>
      <c r="U19" s="56"/>
      <c r="V19" s="48">
        <f>R19+S19+T19+U19</f>
        <v>245482.3995439545</v>
      </c>
      <c r="W19" s="47">
        <v>3381.8805261799967</v>
      </c>
      <c r="X19" s="56">
        <v>8892.2394510177292</v>
      </c>
      <c r="Y19" s="56">
        <v>0</v>
      </c>
      <c r="Z19" s="56">
        <v>0</v>
      </c>
      <c r="AA19" s="48">
        <f>W19+X19+Y19+Z19</f>
        <v>12274.119977197726</v>
      </c>
      <c r="AB19" s="47">
        <v>1880325.5725560784</v>
      </c>
      <c r="AC19" s="56">
        <v>5544085.1347658606</v>
      </c>
      <c r="AD19" s="56"/>
      <c r="AE19" s="56"/>
      <c r="AF19" s="48">
        <f>AB19+AC19+AD19+AE19</f>
        <v>7424410.7073219391</v>
      </c>
    </row>
    <row r="20" spans="2:32" s="49" customFormat="1" ht="15.6" customHeight="1" x14ac:dyDescent="0.3">
      <c r="B20" s="57" t="s">
        <v>29</v>
      </c>
      <c r="C20" s="58">
        <v>12806580.32</v>
      </c>
      <c r="D20" s="59">
        <v>11075048.166666668</v>
      </c>
      <c r="E20" s="59"/>
      <c r="F20" s="59"/>
      <c r="G20" s="60">
        <f>C20+D20+E20+F20</f>
        <v>23881628.486666668</v>
      </c>
      <c r="H20" s="58">
        <v>7507140</v>
      </c>
      <c r="I20" s="59">
        <v>5275315</v>
      </c>
      <c r="J20" s="59"/>
      <c r="K20" s="59"/>
      <c r="L20" s="60">
        <f>H20+I20+J20+K20</f>
        <v>12782455</v>
      </c>
      <c r="M20" s="58">
        <v>1123290</v>
      </c>
      <c r="N20" s="59">
        <v>288400</v>
      </c>
      <c r="O20" s="59"/>
      <c r="P20" s="59"/>
      <c r="Q20" s="60">
        <f>M20+N20+O20+P20</f>
        <v>1411690</v>
      </c>
      <c r="R20" s="58">
        <v>227205</v>
      </c>
      <c r="S20" s="59">
        <v>212625</v>
      </c>
      <c r="T20" s="59"/>
      <c r="U20" s="59">
        <v>0</v>
      </c>
      <c r="V20" s="60">
        <f>R20+S20+T20+U20</f>
        <v>439830</v>
      </c>
      <c r="W20" s="58">
        <v>0</v>
      </c>
      <c r="X20" s="59">
        <v>4995</v>
      </c>
      <c r="Y20" s="59"/>
      <c r="Z20" s="59">
        <v>0</v>
      </c>
      <c r="AA20" s="60">
        <f>W20+X20+Y20+Z20</f>
        <v>4995</v>
      </c>
      <c r="AB20" s="58">
        <v>3948945.32</v>
      </c>
      <c r="AC20" s="59">
        <v>5293713.1666999999</v>
      </c>
      <c r="AD20" s="59"/>
      <c r="AE20" s="59"/>
      <c r="AF20" s="60">
        <f>AB20+AC20+AD20+AE20</f>
        <v>9242658.4867000002</v>
      </c>
    </row>
    <row r="21" spans="2:32" s="49" customFormat="1" ht="15.6" customHeight="1" x14ac:dyDescent="0.3">
      <c r="B21" s="61" t="s">
        <v>30</v>
      </c>
      <c r="C21" s="14">
        <f t="shared" ref="C21:AF21" si="5">C20/C19</f>
        <v>4.0644447765805474</v>
      </c>
      <c r="D21" s="15">
        <f t="shared" si="5"/>
        <v>1.611463083947392</v>
      </c>
      <c r="E21" s="15">
        <f t="shared" si="5"/>
        <v>0</v>
      </c>
      <c r="F21" s="15">
        <f t="shared" si="5"/>
        <v>0</v>
      </c>
      <c r="G21" s="16">
        <f t="shared" si="5"/>
        <v>0.70797317661150316</v>
      </c>
      <c r="H21" s="14">
        <f t="shared" si="5"/>
        <v>7.1796993664777427</v>
      </c>
      <c r="I21" s="15">
        <f t="shared" si="5"/>
        <v>5.9150632757549095</v>
      </c>
      <c r="J21" s="15" t="e">
        <f t="shared" si="5"/>
        <v>#DIV/0!</v>
      </c>
      <c r="K21" s="15" t="e">
        <f t="shared" si="5"/>
        <v>#DIV/0!</v>
      </c>
      <c r="L21" s="16">
        <f t="shared" si="5"/>
        <v>6.5975640876630477</v>
      </c>
      <c r="M21" s="14">
        <f t="shared" si="5"/>
        <v>7.2974500019017841</v>
      </c>
      <c r="N21" s="15">
        <f t="shared" si="5"/>
        <v>1.1536</v>
      </c>
      <c r="O21" s="15" t="e">
        <f t="shared" si="5"/>
        <v>#DIV/0!</v>
      </c>
      <c r="P21" s="15" t="e">
        <f t="shared" si="5"/>
        <v>#DIV/0!</v>
      </c>
      <c r="Q21" s="16">
        <f t="shared" si="5"/>
        <v>3.4948954096600922</v>
      </c>
      <c r="R21" s="14">
        <f t="shared" si="5"/>
        <v>3.3591517831743074</v>
      </c>
      <c r="S21" s="15">
        <f t="shared" si="5"/>
        <v>1.1955649708446885</v>
      </c>
      <c r="T21" s="15" t="e">
        <f t="shared" si="5"/>
        <v>#DIV/0!</v>
      </c>
      <c r="U21" s="15" t="e">
        <f t="shared" si="5"/>
        <v>#DIV/0!</v>
      </c>
      <c r="V21" s="16">
        <f t="shared" si="5"/>
        <v>1.7916966789354154</v>
      </c>
      <c r="W21" s="14">
        <f t="shared" si="5"/>
        <v>0</v>
      </c>
      <c r="X21" s="15">
        <f t="shared" si="5"/>
        <v>0.56172576407940922</v>
      </c>
      <c r="Y21" s="15" t="e">
        <f t="shared" si="5"/>
        <v>#DIV/0!</v>
      </c>
      <c r="Z21" s="15" t="e">
        <f t="shared" si="5"/>
        <v>#DIV/0!</v>
      </c>
      <c r="AA21" s="16">
        <f t="shared" si="5"/>
        <v>0.40695381903382666</v>
      </c>
      <c r="AB21" s="14">
        <f t="shared" si="5"/>
        <v>2.1001391342201869</v>
      </c>
      <c r="AC21" s="15">
        <f t="shared" si="5"/>
        <v>0.95483980458816775</v>
      </c>
      <c r="AD21" s="15" t="e">
        <f t="shared" si="5"/>
        <v>#DIV/0!</v>
      </c>
      <c r="AE21" s="15" t="e">
        <f t="shared" si="5"/>
        <v>#DIV/0!</v>
      </c>
      <c r="AF21" s="16">
        <f t="shared" si="5"/>
        <v>1.2449012926487093</v>
      </c>
    </row>
    <row r="22" spans="2:32" s="62" customFormat="1" ht="18.600000000000001" customHeight="1" thickBot="1" x14ac:dyDescent="0.35">
      <c r="B22" s="63" t="s">
        <v>31</v>
      </c>
      <c r="C22" s="17">
        <f>C20/C19-1</f>
        <v>3.0644447765805474</v>
      </c>
      <c r="D22" s="18">
        <f>D20/D19-1</f>
        <v>0.61146308394739202</v>
      </c>
      <c r="E22" s="18">
        <f>E20/E19-1</f>
        <v>-1</v>
      </c>
      <c r="F22" s="18">
        <f>F20/F19-1</f>
        <v>-1</v>
      </c>
      <c r="G22" s="19">
        <f>G20/G19</f>
        <v>0.70797317661150316</v>
      </c>
      <c r="H22" s="17">
        <f>H20/H19-1</f>
        <v>6.1796993664777427</v>
      </c>
      <c r="I22" s="18">
        <f>I20/I19-1</f>
        <v>4.9150632757549095</v>
      </c>
      <c r="J22" s="18" t="e">
        <f>J20/J19-1</f>
        <v>#DIV/0!</v>
      </c>
      <c r="K22" s="18" t="e">
        <f>K20/K19-1</f>
        <v>#DIV/0!</v>
      </c>
      <c r="L22" s="19">
        <f>L20/L19</f>
        <v>6.5975640876630477</v>
      </c>
      <c r="M22" s="17">
        <f>M20/M19-1</f>
        <v>6.2974500019017841</v>
      </c>
      <c r="N22" s="18">
        <f>N20/N19-1</f>
        <v>0.15359999999999996</v>
      </c>
      <c r="O22" s="18" t="e">
        <f>O20/O19-1</f>
        <v>#DIV/0!</v>
      </c>
      <c r="P22" s="18" t="e">
        <f>P20/P19-1</f>
        <v>#DIV/0!</v>
      </c>
      <c r="Q22" s="19">
        <f>Q20/Q19</f>
        <v>3.4948954096600922</v>
      </c>
      <c r="R22" s="17">
        <f>R20/R19-1</f>
        <v>2.3591517831743074</v>
      </c>
      <c r="S22" s="18">
        <f>S20/S19-1</f>
        <v>0.19556497084468849</v>
      </c>
      <c r="T22" s="18" t="e">
        <f>T20/T19-1</f>
        <v>#DIV/0!</v>
      </c>
      <c r="U22" s="18" t="e">
        <f>U20/U19-1</f>
        <v>#DIV/0!</v>
      </c>
      <c r="V22" s="19">
        <f>V20/V19</f>
        <v>1.7916966789354154</v>
      </c>
      <c r="W22" s="17">
        <f>W20/W19-1</f>
        <v>-1</v>
      </c>
      <c r="X22" s="18">
        <f>X20/X19-1</f>
        <v>-0.43827423592059078</v>
      </c>
      <c r="Y22" s="18" t="e">
        <f>Y20/Y19-1</f>
        <v>#DIV/0!</v>
      </c>
      <c r="Z22" s="18" t="e">
        <f>Z20/Z19-1</f>
        <v>#DIV/0!</v>
      </c>
      <c r="AA22" s="19">
        <f>AA20/AA19</f>
        <v>0.40695381903382666</v>
      </c>
      <c r="AB22" s="17">
        <f>AB20/AB19-1</f>
        <v>1.1001391342201869</v>
      </c>
      <c r="AC22" s="18">
        <f>AC20/AC19-1</f>
        <v>-4.5160195411832249E-2</v>
      </c>
      <c r="AD22" s="18" t="e">
        <f>AD20/AD19-1</f>
        <v>#DIV/0!</v>
      </c>
      <c r="AE22" s="18" t="e">
        <f>AE20/AE19-1</f>
        <v>#DIV/0!</v>
      </c>
      <c r="AF22" s="19">
        <f>AF20/AF19</f>
        <v>1.2449012926487093</v>
      </c>
    </row>
    <row r="23" spans="2:32" ht="15" customHeight="1" thickBot="1" x14ac:dyDescent="0.35"/>
    <row r="24" spans="2:32" s="49" customFormat="1" ht="14.25" customHeight="1" x14ac:dyDescent="0.3">
      <c r="H24" s="33" t="s">
        <v>32</v>
      </c>
      <c r="I24" s="34"/>
      <c r="J24" s="34"/>
      <c r="K24" s="34"/>
      <c r="L24" s="35"/>
      <c r="M24" s="33" t="s">
        <v>33</v>
      </c>
      <c r="N24" s="34"/>
      <c r="O24" s="34"/>
      <c r="P24" s="34"/>
      <c r="Q24" s="35"/>
      <c r="R24" s="33" t="s">
        <v>34</v>
      </c>
      <c r="S24" s="34"/>
      <c r="T24" s="34"/>
      <c r="U24" s="34"/>
      <c r="V24" s="35"/>
      <c r="W24" s="33" t="s">
        <v>35</v>
      </c>
      <c r="X24" s="34"/>
      <c r="Y24" s="34"/>
      <c r="Z24" s="34"/>
      <c r="AA24" s="35"/>
      <c r="AB24" s="33" t="s">
        <v>36</v>
      </c>
      <c r="AC24" s="34"/>
      <c r="AD24" s="34"/>
      <c r="AE24" s="34"/>
      <c r="AF24" s="35"/>
    </row>
    <row r="25" spans="2:32" s="49" customFormat="1" x14ac:dyDescent="0.3">
      <c r="H25" s="42" t="s">
        <v>17</v>
      </c>
      <c r="I25" s="43" t="s">
        <v>18</v>
      </c>
      <c r="J25" s="43" t="s">
        <v>19</v>
      </c>
      <c r="K25" s="43" t="s">
        <v>20</v>
      </c>
      <c r="L25" s="44" t="s">
        <v>21</v>
      </c>
      <c r="M25" s="42" t="s">
        <v>17</v>
      </c>
      <c r="N25" s="43" t="s">
        <v>18</v>
      </c>
      <c r="O25" s="43" t="s">
        <v>19</v>
      </c>
      <c r="P25" s="43" t="s">
        <v>20</v>
      </c>
      <c r="Q25" s="44" t="s">
        <v>21</v>
      </c>
      <c r="R25" s="42" t="s">
        <v>17</v>
      </c>
      <c r="S25" s="43" t="s">
        <v>18</v>
      </c>
      <c r="T25" s="43" t="s">
        <v>19</v>
      </c>
      <c r="U25" s="43" t="s">
        <v>20</v>
      </c>
      <c r="V25" s="44" t="s">
        <v>21</v>
      </c>
      <c r="W25" s="42" t="s">
        <v>17</v>
      </c>
      <c r="X25" s="43" t="s">
        <v>18</v>
      </c>
      <c r="Y25" s="43" t="s">
        <v>19</v>
      </c>
      <c r="Z25" s="43" t="s">
        <v>20</v>
      </c>
      <c r="AA25" s="44" t="s">
        <v>21</v>
      </c>
      <c r="AB25" s="42" t="s">
        <v>17</v>
      </c>
      <c r="AC25" s="43" t="s">
        <v>18</v>
      </c>
      <c r="AD25" s="43" t="s">
        <v>19</v>
      </c>
      <c r="AE25" s="43" t="s">
        <v>20</v>
      </c>
      <c r="AF25" s="44" t="s">
        <v>21</v>
      </c>
    </row>
    <row r="26" spans="2:32" s="49" customFormat="1" ht="15.6" customHeight="1" thickBot="1" x14ac:dyDescent="0.35">
      <c r="H26" s="71">
        <v>1893990</v>
      </c>
      <c r="I26" s="65">
        <v>3519950</v>
      </c>
      <c r="J26" s="65"/>
      <c r="K26" s="65"/>
      <c r="L26" s="66">
        <v>5413940</v>
      </c>
      <c r="M26" s="64">
        <v>435140</v>
      </c>
      <c r="N26" s="65">
        <v>92000</v>
      </c>
      <c r="O26" s="65"/>
      <c r="P26" s="65"/>
      <c r="Q26" s="66">
        <v>527140</v>
      </c>
      <c r="R26" s="65">
        <v>227205</v>
      </c>
      <c r="S26" s="65">
        <v>212625</v>
      </c>
      <c r="T26" s="65"/>
      <c r="U26" s="65"/>
      <c r="V26" s="66">
        <v>439830</v>
      </c>
      <c r="W26" s="65">
        <v>0</v>
      </c>
      <c r="X26" s="65">
        <v>4995</v>
      </c>
      <c r="Y26" s="65"/>
      <c r="Z26" s="65"/>
      <c r="AA26" s="66">
        <v>4995</v>
      </c>
      <c r="AB26" s="65">
        <v>1628623</v>
      </c>
      <c r="AC26" s="65">
        <v>886610.2</v>
      </c>
      <c r="AD26" s="65"/>
      <c r="AE26" s="65"/>
      <c r="AF26" s="66">
        <v>2515233.2000000002</v>
      </c>
    </row>
    <row r="27" spans="2:32" ht="16.2" customHeight="1" thickBot="1" x14ac:dyDescent="0.35"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</row>
    <row r="28" spans="2:32" s="49" customFormat="1" ht="14.25" customHeight="1" x14ac:dyDescent="0.3">
      <c r="H28" s="33" t="s">
        <v>37</v>
      </c>
      <c r="I28" s="34"/>
      <c r="J28" s="34"/>
      <c r="K28" s="34"/>
      <c r="L28" s="35"/>
      <c r="M28" s="33" t="s">
        <v>38</v>
      </c>
      <c r="N28" s="34"/>
      <c r="O28" s="34"/>
      <c r="P28" s="34"/>
      <c r="Q28" s="35"/>
      <c r="R28" s="33" t="s">
        <v>39</v>
      </c>
      <c r="S28" s="34"/>
      <c r="T28" s="34"/>
      <c r="U28" s="34"/>
      <c r="V28" s="35"/>
      <c r="W28" s="36" t="s">
        <v>40</v>
      </c>
      <c r="X28" s="37"/>
      <c r="Y28" s="37"/>
      <c r="Z28" s="37"/>
      <c r="AA28" s="38"/>
      <c r="AB28" s="33" t="s">
        <v>41</v>
      </c>
      <c r="AC28" s="34"/>
      <c r="AD28" s="34"/>
      <c r="AE28" s="34"/>
      <c r="AF28" s="35"/>
    </row>
    <row r="29" spans="2:32" s="49" customFormat="1" x14ac:dyDescent="0.3">
      <c r="H29" s="42" t="s">
        <v>17</v>
      </c>
      <c r="I29" s="43" t="s">
        <v>18</v>
      </c>
      <c r="J29" s="43" t="s">
        <v>19</v>
      </c>
      <c r="K29" s="43" t="s">
        <v>20</v>
      </c>
      <c r="L29" s="44" t="s">
        <v>21</v>
      </c>
      <c r="M29" s="42" t="s">
        <v>17</v>
      </c>
      <c r="N29" s="43" t="s">
        <v>18</v>
      </c>
      <c r="O29" s="43" t="s">
        <v>19</v>
      </c>
      <c r="P29" s="43" t="s">
        <v>20</v>
      </c>
      <c r="Q29" s="44" t="s">
        <v>21</v>
      </c>
      <c r="R29" s="42" t="s">
        <v>17</v>
      </c>
      <c r="S29" s="43" t="s">
        <v>18</v>
      </c>
      <c r="T29" s="43" t="s">
        <v>19</v>
      </c>
      <c r="U29" s="43" t="s">
        <v>20</v>
      </c>
      <c r="V29" s="44" t="s">
        <v>21</v>
      </c>
      <c r="W29" s="42" t="s">
        <v>17</v>
      </c>
      <c r="X29" s="43" t="s">
        <v>18</v>
      </c>
      <c r="Y29" s="43" t="s">
        <v>19</v>
      </c>
      <c r="Z29" s="43" t="s">
        <v>20</v>
      </c>
      <c r="AA29" s="44" t="s">
        <v>21</v>
      </c>
      <c r="AB29" s="42" t="s">
        <v>17</v>
      </c>
      <c r="AC29" s="43" t="s">
        <v>18</v>
      </c>
      <c r="AD29" s="43" t="s">
        <v>19</v>
      </c>
      <c r="AE29" s="43" t="s">
        <v>20</v>
      </c>
      <c r="AF29" s="44" t="s">
        <v>21</v>
      </c>
    </row>
    <row r="30" spans="2:32" s="49" customFormat="1" ht="16.2" customHeight="1" thickBot="1" x14ac:dyDescent="0.35">
      <c r="H30" s="74">
        <v>96000</v>
      </c>
      <c r="I30" s="75">
        <v>329280</v>
      </c>
      <c r="J30" s="75"/>
      <c r="K30" s="75"/>
      <c r="L30" s="66">
        <v>425280</v>
      </c>
      <c r="M30" s="74">
        <v>0</v>
      </c>
      <c r="N30" s="75">
        <v>0</v>
      </c>
      <c r="O30" s="75"/>
      <c r="P30" s="75"/>
      <c r="Q30" s="66">
        <v>0</v>
      </c>
      <c r="R30" s="74">
        <v>0</v>
      </c>
      <c r="S30" s="75">
        <v>0</v>
      </c>
      <c r="T30" s="75"/>
      <c r="U30" s="75"/>
      <c r="V30" s="66">
        <v>0</v>
      </c>
      <c r="W30" s="74">
        <v>0</v>
      </c>
      <c r="X30" s="75">
        <v>0</v>
      </c>
      <c r="Y30" s="75"/>
      <c r="Z30" s="75"/>
      <c r="AA30" s="66">
        <v>0</v>
      </c>
      <c r="AB30" s="74">
        <v>0</v>
      </c>
      <c r="AC30" s="75">
        <v>113860.5766</v>
      </c>
      <c r="AD30" s="75"/>
      <c r="AE30" s="75"/>
      <c r="AF30" s="66">
        <v>113860.5766</v>
      </c>
    </row>
    <row r="31" spans="2:32" s="49" customFormat="1" x14ac:dyDescent="0.3"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</row>
    <row r="32" spans="2:32" s="49" customFormat="1" ht="18" customHeight="1" x14ac:dyDescent="0.3"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</row>
    <row r="33" spans="8:32" s="49" customFormat="1" x14ac:dyDescent="0.3"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</row>
    <row r="34" spans="8:32" s="49" customFormat="1" x14ac:dyDescent="0.3"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</row>
    <row r="35" spans="8:32" s="49" customFormat="1" x14ac:dyDescent="0.3"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</row>
    <row r="36" spans="8:32" s="49" customFormat="1" x14ac:dyDescent="0.3"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</row>
    <row r="37" spans="8:32" s="49" customFormat="1" x14ac:dyDescent="0.3"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</row>
    <row r="38" spans="8:32" s="49" customFormat="1" x14ac:dyDescent="0.3"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</row>
    <row r="39" spans="8:32" s="49" customFormat="1" x14ac:dyDescent="0.3"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</row>
    <row r="40" spans="8:32" s="49" customFormat="1" x14ac:dyDescent="0.3"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</row>
    <row r="41" spans="8:32" s="49" customFormat="1" x14ac:dyDescent="0.3"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</row>
    <row r="42" spans="8:32" s="49" customFormat="1" x14ac:dyDescent="0.3"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</row>
    <row r="43" spans="8:32" s="49" customFormat="1" x14ac:dyDescent="0.3"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</row>
    <row r="44" spans="8:32" s="49" customFormat="1" x14ac:dyDescent="0.3"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</row>
    <row r="45" spans="8:32" s="49" customFormat="1" x14ac:dyDescent="0.3"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</row>
    <row r="46" spans="8:32" s="49" customFormat="1" x14ac:dyDescent="0.3"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</row>
    <row r="47" spans="8:32" s="49" customFormat="1" x14ac:dyDescent="0.3"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</row>
    <row r="48" spans="8:32" s="49" customFormat="1" x14ac:dyDescent="0.3"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</row>
    <row r="49" spans="8:32" s="49" customFormat="1" x14ac:dyDescent="0.3"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</row>
    <row r="50" spans="8:32" s="49" customFormat="1" x14ac:dyDescent="0.3"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</row>
    <row r="51" spans="8:32" s="49" customFormat="1" x14ac:dyDescent="0.3"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</row>
    <row r="52" spans="8:32" s="49" customFormat="1" x14ac:dyDescent="0.3"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</row>
    <row r="53" spans="8:32" s="49" customFormat="1" x14ac:dyDescent="0.3"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</row>
    <row r="54" spans="8:32" s="49" customFormat="1" x14ac:dyDescent="0.3"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</row>
    <row r="55" spans="8:32" s="49" customFormat="1" x14ac:dyDescent="0.3"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</row>
    <row r="56" spans="8:32" s="49" customFormat="1" x14ac:dyDescent="0.3"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</row>
    <row r="57" spans="8:32" s="49" customFormat="1" x14ac:dyDescent="0.3"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</row>
    <row r="58" spans="8:32" s="49" customFormat="1" x14ac:dyDescent="0.3"/>
    <row r="59" spans="8:32" s="49" customFormat="1" x14ac:dyDescent="0.3"/>
    <row r="60" spans="8:32" s="49" customFormat="1" ht="18" customHeight="1" x14ac:dyDescent="0.3"/>
    <row r="61" spans="8:32" s="49" customFormat="1" x14ac:dyDescent="0.3"/>
    <row r="62" spans="8:32" s="49" customFormat="1" x14ac:dyDescent="0.3"/>
    <row r="63" spans="8:32" s="49" customFormat="1" x14ac:dyDescent="0.3"/>
    <row r="64" spans="8:32" s="49" customFormat="1" ht="18" customHeight="1" x14ac:dyDescent="0.3"/>
    <row r="65" s="49" customFormat="1" x14ac:dyDescent="0.3"/>
    <row r="66" s="49" customFormat="1" x14ac:dyDescent="0.3"/>
    <row r="67" s="49" customFormat="1" x14ac:dyDescent="0.3"/>
    <row r="68" s="49" customFormat="1" ht="18" customHeight="1" x14ac:dyDescent="0.3"/>
    <row r="69" s="49" customFormat="1" x14ac:dyDescent="0.3"/>
    <row r="70" s="49" customFormat="1" x14ac:dyDescent="0.3"/>
    <row r="71" s="49" customFormat="1" x14ac:dyDescent="0.3"/>
    <row r="72" s="49" customFormat="1" ht="18" customHeight="1" x14ac:dyDescent="0.3"/>
    <row r="73" s="49" customFormat="1" x14ac:dyDescent="0.3"/>
    <row r="74" s="49" customFormat="1" x14ac:dyDescent="0.3"/>
    <row r="75" s="49" customFormat="1" x14ac:dyDescent="0.3"/>
    <row r="76" s="49" customFormat="1" ht="18" customHeight="1" x14ac:dyDescent="0.3"/>
    <row r="77" s="49" customFormat="1" x14ac:dyDescent="0.3"/>
    <row r="78" s="49" customFormat="1" x14ac:dyDescent="0.3"/>
    <row r="79" s="49" customFormat="1" x14ac:dyDescent="0.3"/>
    <row r="80" s="49" customFormat="1" ht="18" customHeight="1" x14ac:dyDescent="0.3"/>
    <row r="81" s="49" customFormat="1" x14ac:dyDescent="0.3"/>
    <row r="82" s="49" customFormat="1" x14ac:dyDescent="0.3"/>
    <row r="83" s="49" customFormat="1" x14ac:dyDescent="0.3"/>
    <row r="84" s="49" customFormat="1" ht="18" customHeight="1" x14ac:dyDescent="0.3"/>
    <row r="85" s="49" customFormat="1" x14ac:dyDescent="0.3"/>
    <row r="86" s="49" customFormat="1" x14ac:dyDescent="0.3"/>
    <row r="87" s="49" customFormat="1" x14ac:dyDescent="0.3"/>
    <row r="88" s="49" customFormat="1" ht="18" customHeight="1" x14ac:dyDescent="0.3"/>
    <row r="89" s="49" customFormat="1" x14ac:dyDescent="0.3"/>
    <row r="90" s="49" customFormat="1" x14ac:dyDescent="0.3"/>
    <row r="91" s="49" customFormat="1" x14ac:dyDescent="0.3"/>
    <row r="92" s="49" customFormat="1" ht="18" customHeight="1" x14ac:dyDescent="0.3"/>
    <row r="93" s="49" customFormat="1" x14ac:dyDescent="0.3"/>
    <row r="94" s="49" customFormat="1" x14ac:dyDescent="0.3"/>
    <row r="95" s="49" customFormat="1" x14ac:dyDescent="0.3"/>
    <row r="96" s="49" customFormat="1" ht="18" customHeight="1" x14ac:dyDescent="0.3"/>
    <row r="97" s="49" customFormat="1" x14ac:dyDescent="0.3"/>
    <row r="98" s="49" customFormat="1" x14ac:dyDescent="0.3"/>
    <row r="99" s="49" customFormat="1" x14ac:dyDescent="0.3"/>
    <row r="100" s="49" customFormat="1" ht="18" customHeight="1" x14ac:dyDescent="0.3"/>
    <row r="101" s="49" customFormat="1" x14ac:dyDescent="0.3"/>
    <row r="102" s="49" customFormat="1" x14ac:dyDescent="0.3"/>
    <row r="103" s="49" customFormat="1" x14ac:dyDescent="0.3"/>
    <row r="104" s="49" customFormat="1" ht="18" customHeight="1" x14ac:dyDescent="0.3"/>
    <row r="105" s="49" customFormat="1" x14ac:dyDescent="0.3"/>
    <row r="106" s="49" customFormat="1" x14ac:dyDescent="0.3"/>
    <row r="107" s="49" customFormat="1" x14ac:dyDescent="0.3"/>
    <row r="108" s="49" customFormat="1" ht="18" customHeight="1" x14ac:dyDescent="0.3"/>
    <row r="109" s="49" customFormat="1" x14ac:dyDescent="0.3"/>
    <row r="110" s="49" customFormat="1" x14ac:dyDescent="0.3"/>
    <row r="111" s="49" customFormat="1" x14ac:dyDescent="0.3"/>
    <row r="112" s="49" customFormat="1" ht="18" customHeight="1" x14ac:dyDescent="0.3"/>
    <row r="113" s="49" customFormat="1" x14ac:dyDescent="0.3"/>
    <row r="114" s="49" customFormat="1" x14ac:dyDescent="0.3"/>
    <row r="115" s="49" customFormat="1" x14ac:dyDescent="0.3"/>
    <row r="116" s="49" customFormat="1" ht="18" customHeight="1" x14ac:dyDescent="0.3"/>
    <row r="117" s="49" customFormat="1" x14ac:dyDescent="0.3"/>
    <row r="118" s="49" customFormat="1" x14ac:dyDescent="0.3"/>
    <row r="119" s="49" customFormat="1" x14ac:dyDescent="0.3"/>
    <row r="120" s="49" customFormat="1" ht="18" customHeight="1" x14ac:dyDescent="0.3"/>
    <row r="121" s="49" customFormat="1" x14ac:dyDescent="0.3"/>
    <row r="122" s="49" customFormat="1" x14ac:dyDescent="0.3"/>
    <row r="123" s="49" customFormat="1" x14ac:dyDescent="0.3"/>
    <row r="124" s="62" customFormat="1" ht="18" customHeight="1" x14ac:dyDescent="0.3"/>
    <row r="125" s="49" customFormat="1" x14ac:dyDescent="0.3"/>
    <row r="126" s="49" customFormat="1" x14ac:dyDescent="0.3"/>
    <row r="127" s="49" customFormat="1" x14ac:dyDescent="0.3"/>
    <row r="128" s="62" customFormat="1" ht="18" customHeight="1" x14ac:dyDescent="0.3"/>
    <row r="129" s="49" customFormat="1" x14ac:dyDescent="0.3"/>
    <row r="130" s="49" customFormat="1" x14ac:dyDescent="0.3"/>
    <row r="131" s="49" customFormat="1" x14ac:dyDescent="0.3"/>
    <row r="132" s="62" customFormat="1" ht="18" customHeight="1" x14ac:dyDescent="0.3"/>
    <row r="133" s="49" customFormat="1" x14ac:dyDescent="0.3"/>
    <row r="134" s="49" customFormat="1" x14ac:dyDescent="0.3"/>
    <row r="135" s="49" customFormat="1" x14ac:dyDescent="0.3"/>
    <row r="136" s="62" customFormat="1" ht="18" customHeight="1" x14ac:dyDescent="0.3"/>
    <row r="137" s="49" customFormat="1" x14ac:dyDescent="0.3"/>
    <row r="138" s="49" customFormat="1" x14ac:dyDescent="0.3"/>
    <row r="139" s="49" customFormat="1" x14ac:dyDescent="0.3"/>
    <row r="140" s="62" customFormat="1" ht="18" customHeight="1" x14ac:dyDescent="0.3"/>
    <row r="141" s="49" customFormat="1" x14ac:dyDescent="0.3"/>
    <row r="142" s="49" customFormat="1" x14ac:dyDescent="0.3"/>
    <row r="143" s="49" customFormat="1" x14ac:dyDescent="0.3"/>
    <row r="144" s="62" customFormat="1" ht="18" customHeight="1" x14ac:dyDescent="0.3"/>
    <row r="145" s="49" customFormat="1" x14ac:dyDescent="0.3"/>
    <row r="146" s="49" customFormat="1" x14ac:dyDescent="0.3"/>
    <row r="147" s="49" customFormat="1" x14ac:dyDescent="0.3"/>
    <row r="148" s="62" customFormat="1" ht="18" customHeight="1" x14ac:dyDescent="0.3"/>
    <row r="149" s="49" customFormat="1" x14ac:dyDescent="0.3"/>
    <row r="150" s="49" customFormat="1" x14ac:dyDescent="0.3"/>
    <row r="151" s="49" customFormat="1" x14ac:dyDescent="0.3"/>
    <row r="152" s="62" customFormat="1" ht="18" customHeight="1" x14ac:dyDescent="0.3"/>
    <row r="153" s="49" customFormat="1" x14ac:dyDescent="0.3"/>
    <row r="154" s="49" customFormat="1" x14ac:dyDescent="0.3"/>
    <row r="155" s="49" customFormat="1" x14ac:dyDescent="0.3"/>
    <row r="156" s="62" customFormat="1" ht="18" customHeight="1" x14ac:dyDescent="0.3"/>
    <row r="157" s="49" customFormat="1" x14ac:dyDescent="0.3"/>
    <row r="158" s="49" customFormat="1" x14ac:dyDescent="0.3"/>
    <row r="159" s="49" customFormat="1" x14ac:dyDescent="0.3"/>
    <row r="160" s="62" customFormat="1" ht="18" customHeight="1" x14ac:dyDescent="0.3"/>
    <row r="161" s="49" customFormat="1" x14ac:dyDescent="0.3"/>
    <row r="162" s="49" customFormat="1" x14ac:dyDescent="0.3"/>
    <row r="163" s="49" customFormat="1" x14ac:dyDescent="0.3"/>
    <row r="164" s="62" customFormat="1" ht="18" customHeight="1" x14ac:dyDescent="0.3"/>
    <row r="165" s="49" customFormat="1" x14ac:dyDescent="0.3"/>
    <row r="166" s="49" customFormat="1" x14ac:dyDescent="0.3"/>
    <row r="167" s="49" customFormat="1" x14ac:dyDescent="0.3"/>
    <row r="168" s="62" customFormat="1" ht="18" customHeight="1" x14ac:dyDescent="0.3"/>
    <row r="169" s="49" customFormat="1" x14ac:dyDescent="0.3"/>
    <row r="170" s="49" customFormat="1" x14ac:dyDescent="0.3"/>
    <row r="171" s="49" customFormat="1" x14ac:dyDescent="0.3"/>
    <row r="172" s="62" customFormat="1" ht="18" customHeight="1" x14ac:dyDescent="0.3"/>
    <row r="173" s="49" customFormat="1" x14ac:dyDescent="0.3"/>
    <row r="174" s="49" customFormat="1" x14ac:dyDescent="0.3"/>
    <row r="175" s="49" customFormat="1" x14ac:dyDescent="0.3"/>
    <row r="176" s="62" customFormat="1" ht="18" customHeight="1" x14ac:dyDescent="0.3"/>
    <row r="177" s="49" customFormat="1" x14ac:dyDescent="0.3"/>
    <row r="178" s="49" customFormat="1" x14ac:dyDescent="0.3"/>
    <row r="179" s="49" customFormat="1" x14ac:dyDescent="0.3"/>
    <row r="180" s="62" customFormat="1" ht="18" customHeight="1" x14ac:dyDescent="0.3"/>
    <row r="181" s="49" customFormat="1" x14ac:dyDescent="0.3"/>
    <row r="182" s="49" customFormat="1" x14ac:dyDescent="0.3"/>
    <row r="183" s="49" customFormat="1" x14ac:dyDescent="0.3"/>
    <row r="184" s="62" customFormat="1" ht="18" customHeight="1" x14ac:dyDescent="0.3"/>
    <row r="185" s="49" customFormat="1" x14ac:dyDescent="0.3"/>
    <row r="186" s="49" customFormat="1" x14ac:dyDescent="0.3"/>
    <row r="187" s="49" customFormat="1" x14ac:dyDescent="0.3"/>
    <row r="188" s="62" customFormat="1" ht="18" customHeight="1" x14ac:dyDescent="0.3"/>
  </sheetData>
  <mergeCells count="2">
    <mergeCell ref="B2:F2"/>
    <mergeCell ref="B11:B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Кнопка1_Щелчок">
                <anchor moveWithCells="1">
                  <from>
                    <xdr:col>1</xdr:col>
                    <xdr:colOff>556260</xdr:colOff>
                    <xdr:row>23</xdr:row>
                    <xdr:rowOff>38100</xdr:rowOff>
                  </from>
                  <to>
                    <xdr:col>1</xdr:col>
                    <xdr:colOff>2346960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Кнопка2_Щелчок">
                <anchor moveWithCells="1">
                  <from>
                    <xdr:col>1</xdr:col>
                    <xdr:colOff>556260</xdr:colOff>
                    <xdr:row>25</xdr:row>
                    <xdr:rowOff>175260</xdr:rowOff>
                  </from>
                  <to>
                    <xdr:col>1</xdr:col>
                    <xdr:colOff>2331720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 filterMode="1"/>
  <dimension ref="A1:J145"/>
  <sheetViews>
    <sheetView zoomScale="79" zoomScaleNormal="79" workbookViewId="0">
      <selection activeCell="G111" sqref="D111:G111"/>
    </sheetView>
  </sheetViews>
  <sheetFormatPr defaultRowHeight="14.4" x14ac:dyDescent="0.3"/>
  <cols>
    <col min="1" max="1" width="8.5546875" customWidth="1"/>
    <col min="2" max="2" width="23.5546875" customWidth="1"/>
    <col min="3" max="3" width="13.21875" customWidth="1"/>
    <col min="4" max="4" width="54.109375" customWidth="1"/>
    <col min="5" max="5" width="9.33203125" customWidth="1"/>
    <col min="6" max="6" width="18.5546875" customWidth="1"/>
    <col min="7" max="7" width="23.44140625" customWidth="1"/>
    <col min="8" max="8" width="23.6640625" customWidth="1"/>
    <col min="9" max="9" width="13.88671875" customWidth="1"/>
    <col min="10" max="10" width="14.88671875" bestFit="1" customWidth="1"/>
  </cols>
  <sheetData>
    <row r="1" spans="1:10" x14ac:dyDescent="0.3">
      <c r="F1" s="78">
        <f>SUBTOTAL(9,F3:F288)</f>
        <v>5293713.166666666</v>
      </c>
    </row>
    <row r="2" spans="1:10" ht="15.6" customHeight="1" x14ac:dyDescent="0.3">
      <c r="A2" s="3" t="s">
        <v>42</v>
      </c>
      <c r="B2" s="3" t="s">
        <v>43</v>
      </c>
      <c r="C2" s="3" t="s">
        <v>44</v>
      </c>
      <c r="D2" s="3" t="s">
        <v>45</v>
      </c>
      <c r="E2" s="3" t="s">
        <v>46</v>
      </c>
      <c r="F2" s="3" t="s">
        <v>47</v>
      </c>
      <c r="G2" s="3" t="s">
        <v>48</v>
      </c>
      <c r="H2" s="2" t="s">
        <v>49</v>
      </c>
      <c r="I2" s="6" t="s">
        <v>50</v>
      </c>
      <c r="J2" s="12" t="s">
        <v>51</v>
      </c>
    </row>
    <row r="3" spans="1:10" ht="15.6" hidden="1" customHeight="1" x14ac:dyDescent="0.3">
      <c r="A3" s="79" t="s">
        <v>94</v>
      </c>
      <c r="B3" s="5" t="s">
        <v>90</v>
      </c>
      <c r="C3" s="87" t="s">
        <v>53</v>
      </c>
      <c r="D3" s="86" t="s">
        <v>86</v>
      </c>
      <c r="E3" s="94">
        <v>304</v>
      </c>
      <c r="F3" s="82">
        <v>288800</v>
      </c>
      <c r="G3" s="83">
        <f>F3/E3</f>
        <v>950</v>
      </c>
      <c r="H3" s="84" t="s">
        <v>56</v>
      </c>
      <c r="I3" s="85"/>
      <c r="J3" s="13" t="s">
        <v>74</v>
      </c>
    </row>
    <row r="4" spans="1:10" ht="15.6" hidden="1" customHeight="1" x14ac:dyDescent="0.3">
      <c r="A4" s="79" t="s">
        <v>94</v>
      </c>
      <c r="B4" s="5" t="s">
        <v>91</v>
      </c>
      <c r="C4" s="87" t="s">
        <v>53</v>
      </c>
      <c r="D4" s="86" t="s">
        <v>75</v>
      </c>
      <c r="E4" s="94">
        <v>112</v>
      </c>
      <c r="F4" s="82">
        <v>50400</v>
      </c>
      <c r="G4" s="83">
        <f t="shared" ref="G4:G65" si="0">F4/E4</f>
        <v>450</v>
      </c>
      <c r="H4" s="84" t="s">
        <v>56</v>
      </c>
      <c r="I4" s="85"/>
      <c r="J4" s="13" t="s">
        <v>74</v>
      </c>
    </row>
    <row r="5" spans="1:10" ht="17.399999999999999" hidden="1" customHeight="1" x14ac:dyDescent="0.3">
      <c r="A5" s="79" t="s">
        <v>94</v>
      </c>
      <c r="B5" s="5" t="s">
        <v>91</v>
      </c>
      <c r="C5" s="87" t="s">
        <v>53</v>
      </c>
      <c r="D5" s="86" t="s">
        <v>83</v>
      </c>
      <c r="E5" s="94">
        <v>72</v>
      </c>
      <c r="F5" s="82">
        <v>59616</v>
      </c>
      <c r="G5" s="83">
        <f t="shared" si="0"/>
        <v>828</v>
      </c>
      <c r="H5" s="84" t="s">
        <v>56</v>
      </c>
      <c r="I5" s="85"/>
      <c r="J5" s="13" t="s">
        <v>74</v>
      </c>
    </row>
    <row r="6" spans="1:10" ht="15.6" hidden="1" customHeight="1" x14ac:dyDescent="0.3">
      <c r="A6" s="79" t="s">
        <v>94</v>
      </c>
      <c r="B6" s="5" t="s">
        <v>91</v>
      </c>
      <c r="C6" s="87" t="s">
        <v>53</v>
      </c>
      <c r="D6" s="86" t="s">
        <v>79</v>
      </c>
      <c r="E6" s="94">
        <v>128</v>
      </c>
      <c r="F6" s="82">
        <v>69120</v>
      </c>
      <c r="G6" s="83">
        <f t="shared" si="0"/>
        <v>540</v>
      </c>
      <c r="H6" s="84" t="s">
        <v>56</v>
      </c>
      <c r="I6" s="85"/>
      <c r="J6" s="13" t="s">
        <v>74</v>
      </c>
    </row>
    <row r="7" spans="1:10" ht="15.6" hidden="1" customHeight="1" x14ac:dyDescent="0.3">
      <c r="A7" s="79" t="s">
        <v>94</v>
      </c>
      <c r="B7" s="5" t="s">
        <v>95</v>
      </c>
      <c r="C7" s="87" t="s">
        <v>53</v>
      </c>
      <c r="D7" s="86" t="s">
        <v>59</v>
      </c>
      <c r="E7" s="94">
        <v>162</v>
      </c>
      <c r="F7" s="82">
        <v>26730</v>
      </c>
      <c r="G7" s="83">
        <f t="shared" si="0"/>
        <v>165</v>
      </c>
      <c r="H7" s="84" t="s">
        <v>56</v>
      </c>
      <c r="I7" s="85"/>
      <c r="J7" s="13" t="s">
        <v>100</v>
      </c>
    </row>
    <row r="8" spans="1:10" ht="15.6" hidden="1" customHeight="1" x14ac:dyDescent="0.3">
      <c r="A8" s="79" t="s">
        <v>94</v>
      </c>
      <c r="B8" s="5" t="s">
        <v>95</v>
      </c>
      <c r="C8" s="87" t="s">
        <v>53</v>
      </c>
      <c r="D8" s="86" t="s">
        <v>59</v>
      </c>
      <c r="E8" s="94">
        <v>162</v>
      </c>
      <c r="F8" s="82">
        <v>26730</v>
      </c>
      <c r="G8" s="83">
        <f t="shared" si="0"/>
        <v>165</v>
      </c>
      <c r="H8" s="84" t="s">
        <v>56</v>
      </c>
      <c r="I8" s="85"/>
      <c r="J8" s="13" t="s">
        <v>100</v>
      </c>
    </row>
    <row r="9" spans="1:10" ht="15.6" hidden="1" customHeight="1" x14ac:dyDescent="0.3">
      <c r="A9" s="79" t="s">
        <v>94</v>
      </c>
      <c r="B9" s="5" t="s">
        <v>95</v>
      </c>
      <c r="C9" s="87" t="s">
        <v>53</v>
      </c>
      <c r="D9" s="86" t="s">
        <v>59</v>
      </c>
      <c r="E9" s="94">
        <v>162</v>
      </c>
      <c r="F9" s="82">
        <v>26730</v>
      </c>
      <c r="G9" s="83">
        <f t="shared" si="0"/>
        <v>165</v>
      </c>
      <c r="H9" s="84" t="s">
        <v>56</v>
      </c>
      <c r="I9" s="85"/>
      <c r="J9" s="13" t="s">
        <v>100</v>
      </c>
    </row>
    <row r="10" spans="1:10" ht="15.6" hidden="1" customHeight="1" x14ac:dyDescent="0.3">
      <c r="A10" s="79" t="s">
        <v>94</v>
      </c>
      <c r="B10" s="5" t="s">
        <v>93</v>
      </c>
      <c r="C10" s="5" t="s">
        <v>53</v>
      </c>
      <c r="D10" s="80" t="s">
        <v>70</v>
      </c>
      <c r="E10" s="81">
        <v>350</v>
      </c>
      <c r="F10" s="82">
        <v>290500</v>
      </c>
      <c r="G10" s="83">
        <f t="shared" si="0"/>
        <v>830</v>
      </c>
      <c r="H10" s="84" t="s">
        <v>56</v>
      </c>
      <c r="I10" s="85"/>
      <c r="J10" s="13" t="s">
        <v>68</v>
      </c>
    </row>
    <row r="11" spans="1:10" ht="15.6" hidden="1" customHeight="1" x14ac:dyDescent="0.3">
      <c r="A11" s="79" t="s">
        <v>94</v>
      </c>
      <c r="B11" s="5" t="s">
        <v>93</v>
      </c>
      <c r="C11" s="5" t="s">
        <v>53</v>
      </c>
      <c r="D11" s="80" t="s">
        <v>54</v>
      </c>
      <c r="E11" s="81">
        <v>55</v>
      </c>
      <c r="F11" s="82">
        <v>108900</v>
      </c>
      <c r="G11" s="83">
        <f t="shared" si="0"/>
        <v>1980</v>
      </c>
      <c r="H11" s="84" t="s">
        <v>56</v>
      </c>
      <c r="I11" s="85"/>
      <c r="J11" s="13" t="s">
        <v>65</v>
      </c>
    </row>
    <row r="12" spans="1:10" ht="15.6" hidden="1" customHeight="1" x14ac:dyDescent="0.3">
      <c r="A12" s="79" t="s">
        <v>94</v>
      </c>
      <c r="B12" s="80" t="s">
        <v>96</v>
      </c>
      <c r="C12" s="87" t="s">
        <v>53</v>
      </c>
      <c r="D12" s="86" t="s">
        <v>70</v>
      </c>
      <c r="E12" s="81">
        <v>300</v>
      </c>
      <c r="F12" s="82">
        <v>465000</v>
      </c>
      <c r="G12" s="83">
        <f t="shared" si="0"/>
        <v>1550</v>
      </c>
      <c r="H12" s="84" t="s">
        <v>56</v>
      </c>
      <c r="I12" s="85"/>
      <c r="J12" s="13" t="s">
        <v>68</v>
      </c>
    </row>
    <row r="13" spans="1:10" ht="15.6" hidden="1" customHeight="1" x14ac:dyDescent="0.3">
      <c r="A13" s="79" t="s">
        <v>94</v>
      </c>
      <c r="B13" s="5" t="s">
        <v>97</v>
      </c>
      <c r="C13" s="87" t="s">
        <v>53</v>
      </c>
      <c r="D13" s="86" t="s">
        <v>70</v>
      </c>
      <c r="E13" s="81">
        <v>30</v>
      </c>
      <c r="F13" s="82">
        <v>47520</v>
      </c>
      <c r="G13" s="83">
        <f t="shared" si="0"/>
        <v>1584</v>
      </c>
      <c r="H13" s="84" t="s">
        <v>56</v>
      </c>
      <c r="I13" s="85"/>
      <c r="J13" s="13" t="s">
        <v>68</v>
      </c>
    </row>
    <row r="14" spans="1:10" ht="15.6" hidden="1" customHeight="1" x14ac:dyDescent="0.3">
      <c r="A14" s="79" t="s">
        <v>94</v>
      </c>
      <c r="B14" s="5" t="s">
        <v>92</v>
      </c>
      <c r="C14" s="5" t="s">
        <v>53</v>
      </c>
      <c r="D14" s="4" t="s">
        <v>52</v>
      </c>
      <c r="E14" s="81">
        <v>150</v>
      </c>
      <c r="F14" s="82">
        <v>102375</v>
      </c>
      <c r="G14" s="83">
        <f t="shared" si="0"/>
        <v>682.5</v>
      </c>
      <c r="H14" s="84" t="s">
        <v>56</v>
      </c>
      <c r="I14" s="85"/>
      <c r="J14" s="13" t="s">
        <v>68</v>
      </c>
    </row>
    <row r="15" spans="1:10" ht="15.6" hidden="1" customHeight="1" x14ac:dyDescent="0.3">
      <c r="A15" s="79" t="s">
        <v>94</v>
      </c>
      <c r="B15" s="5" t="s">
        <v>98</v>
      </c>
      <c r="C15" s="5" t="s">
        <v>53</v>
      </c>
      <c r="D15" s="4" t="s">
        <v>69</v>
      </c>
      <c r="E15" s="81">
        <v>2000</v>
      </c>
      <c r="F15" s="82">
        <v>2200000</v>
      </c>
      <c r="G15" s="83">
        <f t="shared" si="0"/>
        <v>1100</v>
      </c>
      <c r="H15" s="84" t="s">
        <v>56</v>
      </c>
      <c r="I15" s="85"/>
      <c r="J15" s="13" t="s">
        <v>68</v>
      </c>
    </row>
    <row r="16" spans="1:10" ht="15.6" hidden="1" customHeight="1" x14ac:dyDescent="0.3">
      <c r="A16" s="79" t="s">
        <v>94</v>
      </c>
      <c r="B16" s="5" t="s">
        <v>97</v>
      </c>
      <c r="C16" s="87" t="s">
        <v>53</v>
      </c>
      <c r="D16" s="86" t="s">
        <v>70</v>
      </c>
      <c r="E16" s="81">
        <v>150</v>
      </c>
      <c r="F16" s="82">
        <v>225630</v>
      </c>
      <c r="G16" s="83">
        <f t="shared" si="0"/>
        <v>1504.2</v>
      </c>
      <c r="H16" s="84" t="s">
        <v>56</v>
      </c>
      <c r="I16" s="85"/>
      <c r="J16" s="13" t="s">
        <v>68</v>
      </c>
    </row>
    <row r="17" spans="1:10" ht="15.6" hidden="1" customHeight="1" x14ac:dyDescent="0.3">
      <c r="A17" s="79" t="s">
        <v>94</v>
      </c>
      <c r="B17" s="5" t="s">
        <v>99</v>
      </c>
      <c r="C17" s="5" t="s">
        <v>53</v>
      </c>
      <c r="D17" s="80" t="s">
        <v>70</v>
      </c>
      <c r="E17" s="81">
        <v>50</v>
      </c>
      <c r="F17" s="82">
        <v>70875</v>
      </c>
      <c r="G17" s="93">
        <f t="shared" si="0"/>
        <v>1417.5</v>
      </c>
      <c r="H17" s="84" t="s">
        <v>56</v>
      </c>
      <c r="I17" s="85"/>
      <c r="J17" s="13" t="s">
        <v>68</v>
      </c>
    </row>
    <row r="18" spans="1:10" ht="15.6" hidden="1" customHeight="1" x14ac:dyDescent="0.3">
      <c r="A18" s="79" t="s">
        <v>94</v>
      </c>
      <c r="B18" s="5" t="s">
        <v>92</v>
      </c>
      <c r="C18" s="5" t="s">
        <v>53</v>
      </c>
      <c r="D18" s="4" t="s">
        <v>52</v>
      </c>
      <c r="E18" s="81">
        <v>580</v>
      </c>
      <c r="F18" s="82">
        <v>395850</v>
      </c>
      <c r="G18" s="83">
        <f t="shared" si="0"/>
        <v>682.5</v>
      </c>
      <c r="H18" s="84" t="s">
        <v>56</v>
      </c>
      <c r="I18" s="85"/>
      <c r="J18" s="13" t="s">
        <v>68</v>
      </c>
    </row>
    <row r="19" spans="1:10" ht="15.6" hidden="1" customHeight="1" x14ac:dyDescent="0.3">
      <c r="A19" s="79" t="s">
        <v>94</v>
      </c>
      <c r="B19" s="5" t="s">
        <v>101</v>
      </c>
      <c r="C19" s="5" t="s">
        <v>53</v>
      </c>
      <c r="D19" s="80" t="s">
        <v>54</v>
      </c>
      <c r="E19" s="81">
        <v>150</v>
      </c>
      <c r="F19" s="82">
        <v>551250</v>
      </c>
      <c r="G19" s="83">
        <f t="shared" si="0"/>
        <v>3675</v>
      </c>
      <c r="H19" s="84" t="s">
        <v>56</v>
      </c>
      <c r="I19" s="85"/>
      <c r="J19" s="13" t="s">
        <v>65</v>
      </c>
    </row>
    <row r="20" spans="1:10" ht="15.6" hidden="1" customHeight="1" x14ac:dyDescent="0.3">
      <c r="A20" s="79" t="s">
        <v>94</v>
      </c>
      <c r="B20" s="5" t="s">
        <v>98</v>
      </c>
      <c r="C20" s="87" t="s">
        <v>53</v>
      </c>
      <c r="D20" s="86" t="s">
        <v>69</v>
      </c>
      <c r="E20" s="81">
        <v>280</v>
      </c>
      <c r="F20" s="82">
        <v>329840</v>
      </c>
      <c r="G20" s="83">
        <f t="shared" si="0"/>
        <v>1178</v>
      </c>
      <c r="H20" s="84" t="s">
        <v>56</v>
      </c>
      <c r="I20" s="85"/>
      <c r="J20" s="13" t="s">
        <v>68</v>
      </c>
    </row>
    <row r="21" spans="1:10" ht="15.6" hidden="1" customHeight="1" x14ac:dyDescent="0.3">
      <c r="A21" s="79" t="s">
        <v>94</v>
      </c>
      <c r="B21" s="5" t="s">
        <v>98</v>
      </c>
      <c r="C21" s="87" t="s">
        <v>53</v>
      </c>
      <c r="D21" s="86" t="s">
        <v>67</v>
      </c>
      <c r="E21" s="81">
        <v>30</v>
      </c>
      <c r="F21" s="82">
        <v>137640</v>
      </c>
      <c r="G21" s="83">
        <f t="shared" si="0"/>
        <v>4588</v>
      </c>
      <c r="H21" s="84" t="s">
        <v>56</v>
      </c>
      <c r="I21" s="85"/>
      <c r="J21" s="13" t="s">
        <v>65</v>
      </c>
    </row>
    <row r="22" spans="1:10" ht="15.6" hidden="1" customHeight="1" x14ac:dyDescent="0.3">
      <c r="A22" s="79" t="s">
        <v>94</v>
      </c>
      <c r="B22" s="5" t="s">
        <v>102</v>
      </c>
      <c r="C22" s="87" t="s">
        <v>53</v>
      </c>
      <c r="D22" s="86" t="s">
        <v>70</v>
      </c>
      <c r="E22" s="81">
        <v>50</v>
      </c>
      <c r="F22" s="82">
        <v>90000</v>
      </c>
      <c r="G22" s="83">
        <f t="shared" si="0"/>
        <v>1800</v>
      </c>
      <c r="H22" s="84" t="s">
        <v>56</v>
      </c>
      <c r="I22" s="85"/>
      <c r="J22" s="13" t="s">
        <v>68</v>
      </c>
    </row>
    <row r="23" spans="1:10" ht="15.6" hidden="1" customHeight="1" x14ac:dyDescent="0.3">
      <c r="A23" s="79" t="s">
        <v>94</v>
      </c>
      <c r="B23" s="5" t="s">
        <v>103</v>
      </c>
      <c r="C23" s="87" t="s">
        <v>53</v>
      </c>
      <c r="D23" s="86" t="s">
        <v>73</v>
      </c>
      <c r="E23" s="81">
        <v>30</v>
      </c>
      <c r="F23" s="82">
        <v>46500</v>
      </c>
      <c r="G23" s="83">
        <f t="shared" si="0"/>
        <v>1550</v>
      </c>
      <c r="H23" s="84" t="s">
        <v>56</v>
      </c>
      <c r="I23" s="85"/>
      <c r="J23" s="13" t="s">
        <v>68</v>
      </c>
    </row>
    <row r="24" spans="1:10" ht="15.6" hidden="1" customHeight="1" x14ac:dyDescent="0.3">
      <c r="A24" s="79" t="s">
        <v>94</v>
      </c>
      <c r="B24" s="80" t="s">
        <v>104</v>
      </c>
      <c r="C24" s="87" t="s">
        <v>106</v>
      </c>
      <c r="D24" s="86" t="s">
        <v>71</v>
      </c>
      <c r="E24" s="81">
        <v>40</v>
      </c>
      <c r="F24" s="82">
        <v>96000</v>
      </c>
      <c r="G24" s="83">
        <f t="shared" si="0"/>
        <v>2400</v>
      </c>
      <c r="H24" s="84" t="s">
        <v>107</v>
      </c>
      <c r="I24" s="85"/>
      <c r="J24" s="13" t="s">
        <v>68</v>
      </c>
    </row>
    <row r="25" spans="1:10" ht="15.6" hidden="1" customHeight="1" x14ac:dyDescent="0.3">
      <c r="A25" s="79" t="s">
        <v>94</v>
      </c>
      <c r="B25" s="5" t="s">
        <v>105</v>
      </c>
      <c r="C25" s="87" t="s">
        <v>53</v>
      </c>
      <c r="D25" s="86" t="s">
        <v>69</v>
      </c>
      <c r="E25" s="81">
        <v>200</v>
      </c>
      <c r="F25" s="82">
        <v>280000</v>
      </c>
      <c r="G25" s="83">
        <f t="shared" si="0"/>
        <v>1400</v>
      </c>
      <c r="H25" s="84" t="s">
        <v>56</v>
      </c>
      <c r="I25" s="85"/>
      <c r="J25" s="13" t="s">
        <v>68</v>
      </c>
    </row>
    <row r="26" spans="1:10" ht="15.6" hidden="1" customHeight="1" x14ac:dyDescent="0.3">
      <c r="A26" s="79" t="s">
        <v>94</v>
      </c>
      <c r="B26" s="5" t="s">
        <v>90</v>
      </c>
      <c r="C26" s="87" t="s">
        <v>53</v>
      </c>
      <c r="D26" s="86" t="s">
        <v>75</v>
      </c>
      <c r="E26" s="94">
        <v>56</v>
      </c>
      <c r="F26" s="82">
        <v>28000</v>
      </c>
      <c r="G26" s="83">
        <f t="shared" si="0"/>
        <v>500</v>
      </c>
      <c r="H26" s="84" t="s">
        <v>56</v>
      </c>
      <c r="I26" s="85"/>
      <c r="J26" s="13" t="s">
        <v>74</v>
      </c>
    </row>
    <row r="27" spans="1:10" ht="15.6" hidden="1" customHeight="1" x14ac:dyDescent="0.3">
      <c r="A27" s="79" t="s">
        <v>94</v>
      </c>
      <c r="B27" s="5" t="s">
        <v>108</v>
      </c>
      <c r="C27" s="87" t="s">
        <v>53</v>
      </c>
      <c r="D27" s="86" t="s">
        <v>76</v>
      </c>
      <c r="E27" s="94">
        <v>1</v>
      </c>
      <c r="F27" s="82">
        <v>960</v>
      </c>
      <c r="G27" s="83">
        <f t="shared" si="0"/>
        <v>960</v>
      </c>
      <c r="H27" s="84" t="s">
        <v>56</v>
      </c>
      <c r="I27" s="85"/>
      <c r="J27" s="13" t="s">
        <v>74</v>
      </c>
    </row>
    <row r="28" spans="1:10" ht="15.6" hidden="1" customHeight="1" x14ac:dyDescent="0.3">
      <c r="A28" s="67" t="s">
        <v>94</v>
      </c>
      <c r="B28" s="5" t="s">
        <v>108</v>
      </c>
      <c r="C28" s="87" t="s">
        <v>53</v>
      </c>
      <c r="D28" s="86" t="s">
        <v>87</v>
      </c>
      <c r="E28" s="81">
        <v>144</v>
      </c>
      <c r="F28" s="69">
        <v>197287.19999999998</v>
      </c>
      <c r="G28" s="83">
        <f t="shared" si="0"/>
        <v>1370.05</v>
      </c>
      <c r="H28" s="84" t="s">
        <v>56</v>
      </c>
      <c r="I28" s="11"/>
      <c r="J28" s="13" t="s">
        <v>74</v>
      </c>
    </row>
    <row r="29" spans="1:10" ht="15.6" hidden="1" customHeight="1" x14ac:dyDescent="0.3">
      <c r="A29" s="67" t="s">
        <v>94</v>
      </c>
      <c r="B29" s="5" t="s">
        <v>108</v>
      </c>
      <c r="C29" s="87" t="s">
        <v>53</v>
      </c>
      <c r="D29" s="86" t="s">
        <v>76</v>
      </c>
      <c r="E29" s="94">
        <v>7</v>
      </c>
      <c r="F29" s="69">
        <v>5600</v>
      </c>
      <c r="G29" s="83">
        <f t="shared" si="0"/>
        <v>800</v>
      </c>
      <c r="H29" s="84" t="s">
        <v>56</v>
      </c>
      <c r="I29" s="11"/>
      <c r="J29" s="13" t="s">
        <v>74</v>
      </c>
    </row>
    <row r="30" spans="1:10" ht="15.6" hidden="1" customHeight="1" x14ac:dyDescent="0.3">
      <c r="A30" s="67" t="s">
        <v>94</v>
      </c>
      <c r="B30" s="5" t="s">
        <v>109</v>
      </c>
      <c r="C30" s="5" t="s">
        <v>53</v>
      </c>
      <c r="D30" s="4" t="s">
        <v>75</v>
      </c>
      <c r="E30" s="94">
        <v>24</v>
      </c>
      <c r="F30" s="69">
        <v>8400</v>
      </c>
      <c r="G30" s="83">
        <f t="shared" si="0"/>
        <v>350</v>
      </c>
      <c r="H30" s="84" t="s">
        <v>56</v>
      </c>
      <c r="I30" s="11"/>
      <c r="J30" s="13" t="s">
        <v>74</v>
      </c>
    </row>
    <row r="31" spans="1:10" ht="15.6" hidden="1" customHeight="1" x14ac:dyDescent="0.3">
      <c r="A31" s="67" t="s">
        <v>94</v>
      </c>
      <c r="B31" s="5" t="s">
        <v>109</v>
      </c>
      <c r="C31" s="5" t="s">
        <v>53</v>
      </c>
      <c r="D31" s="4" t="s">
        <v>79</v>
      </c>
      <c r="E31" s="94">
        <v>24</v>
      </c>
      <c r="F31" s="69">
        <v>10080</v>
      </c>
      <c r="G31" s="83">
        <f t="shared" si="0"/>
        <v>420</v>
      </c>
      <c r="H31" s="84" t="s">
        <v>56</v>
      </c>
      <c r="I31" s="11"/>
      <c r="J31" s="13" t="s">
        <v>74</v>
      </c>
    </row>
    <row r="32" spans="1:10" ht="15.6" hidden="1" customHeight="1" x14ac:dyDescent="0.3">
      <c r="A32" s="67" t="s">
        <v>94</v>
      </c>
      <c r="B32" s="5" t="s">
        <v>109</v>
      </c>
      <c r="C32" s="5" t="s">
        <v>53</v>
      </c>
      <c r="D32" s="4" t="s">
        <v>83</v>
      </c>
      <c r="E32" s="94">
        <v>24</v>
      </c>
      <c r="F32" s="69">
        <v>15456</v>
      </c>
      <c r="G32" s="83">
        <f t="shared" si="0"/>
        <v>644</v>
      </c>
      <c r="H32" s="84" t="s">
        <v>56</v>
      </c>
      <c r="I32" s="11"/>
      <c r="J32" s="13" t="s">
        <v>74</v>
      </c>
    </row>
    <row r="33" spans="1:10" ht="15.6" hidden="1" customHeight="1" x14ac:dyDescent="0.3">
      <c r="A33" s="67" t="s">
        <v>94</v>
      </c>
      <c r="B33" s="5" t="s">
        <v>109</v>
      </c>
      <c r="C33" s="5" t="s">
        <v>53</v>
      </c>
      <c r="D33" s="4" t="s">
        <v>86</v>
      </c>
      <c r="E33" s="94">
        <v>24</v>
      </c>
      <c r="F33" s="69">
        <v>15960</v>
      </c>
      <c r="G33" s="83">
        <f t="shared" si="0"/>
        <v>665</v>
      </c>
      <c r="H33" s="84" t="s">
        <v>56</v>
      </c>
      <c r="I33" s="11"/>
      <c r="J33" s="13" t="s">
        <v>74</v>
      </c>
    </row>
    <row r="34" spans="1:10" ht="15.6" hidden="1" customHeight="1" x14ac:dyDescent="0.3">
      <c r="A34" s="67" t="s">
        <v>94</v>
      </c>
      <c r="B34" s="5" t="s">
        <v>90</v>
      </c>
      <c r="C34" s="87" t="s">
        <v>53</v>
      </c>
      <c r="D34" s="86" t="s">
        <v>83</v>
      </c>
      <c r="E34" s="94">
        <v>304</v>
      </c>
      <c r="F34" s="69">
        <v>237728</v>
      </c>
      <c r="G34" s="83">
        <f t="shared" si="0"/>
        <v>782</v>
      </c>
      <c r="H34" s="84" t="s">
        <v>56</v>
      </c>
      <c r="I34" s="11"/>
      <c r="J34" s="13" t="s">
        <v>74</v>
      </c>
    </row>
    <row r="35" spans="1:10" ht="15.6" hidden="1" customHeight="1" x14ac:dyDescent="0.3">
      <c r="A35" s="67" t="s">
        <v>94</v>
      </c>
      <c r="B35" s="5" t="s">
        <v>90</v>
      </c>
      <c r="C35" s="87" t="s">
        <v>53</v>
      </c>
      <c r="D35" s="86" t="s">
        <v>79</v>
      </c>
      <c r="E35" s="94">
        <v>144</v>
      </c>
      <c r="F35" s="69">
        <v>73440</v>
      </c>
      <c r="G35" s="83">
        <f t="shared" si="0"/>
        <v>510</v>
      </c>
      <c r="H35" s="84" t="s">
        <v>56</v>
      </c>
      <c r="I35" s="11"/>
      <c r="J35" s="13" t="s">
        <v>74</v>
      </c>
    </row>
    <row r="36" spans="1:10" ht="15.6" hidden="1" customHeight="1" x14ac:dyDescent="0.3">
      <c r="A36" s="67" t="s">
        <v>94</v>
      </c>
      <c r="B36" s="5" t="s">
        <v>90</v>
      </c>
      <c r="C36" s="87" t="s">
        <v>53</v>
      </c>
      <c r="D36" s="86" t="s">
        <v>75</v>
      </c>
      <c r="E36" s="94">
        <v>56</v>
      </c>
      <c r="F36" s="69">
        <v>23352</v>
      </c>
      <c r="G36" s="83">
        <f t="shared" si="0"/>
        <v>417</v>
      </c>
      <c r="H36" s="84" t="s">
        <v>56</v>
      </c>
      <c r="I36" s="11"/>
      <c r="J36" s="13" t="s">
        <v>74</v>
      </c>
    </row>
    <row r="37" spans="1:10" ht="15.6" hidden="1" customHeight="1" x14ac:dyDescent="0.3">
      <c r="A37" s="67" t="s">
        <v>94</v>
      </c>
      <c r="B37" s="5" t="s">
        <v>110</v>
      </c>
      <c r="C37" s="5" t="s">
        <v>53</v>
      </c>
      <c r="D37" s="4" t="s">
        <v>75</v>
      </c>
      <c r="E37" s="94">
        <v>16</v>
      </c>
      <c r="F37" s="69">
        <v>5600</v>
      </c>
      <c r="G37" s="83">
        <f t="shared" si="0"/>
        <v>350</v>
      </c>
      <c r="H37" s="84" t="s">
        <v>56</v>
      </c>
      <c r="I37" s="11"/>
      <c r="J37" s="13" t="s">
        <v>74</v>
      </c>
    </row>
    <row r="38" spans="1:10" ht="15.6" hidden="1" customHeight="1" x14ac:dyDescent="0.3">
      <c r="A38" s="67" t="s">
        <v>94</v>
      </c>
      <c r="B38" s="5" t="s">
        <v>110</v>
      </c>
      <c r="C38" s="5" t="s">
        <v>53</v>
      </c>
      <c r="D38" s="4" t="s">
        <v>83</v>
      </c>
      <c r="E38" s="94">
        <v>32</v>
      </c>
      <c r="F38" s="69">
        <v>20608</v>
      </c>
      <c r="G38" s="83">
        <f t="shared" si="0"/>
        <v>644</v>
      </c>
      <c r="H38" s="84" t="s">
        <v>56</v>
      </c>
      <c r="I38" s="11"/>
      <c r="J38" s="13" t="s">
        <v>74</v>
      </c>
    </row>
    <row r="39" spans="1:10" ht="15.6" hidden="1" customHeight="1" x14ac:dyDescent="0.3">
      <c r="A39" s="67" t="s">
        <v>94</v>
      </c>
      <c r="B39" s="5" t="s">
        <v>110</v>
      </c>
      <c r="C39" s="5" t="s">
        <v>53</v>
      </c>
      <c r="D39" s="4" t="s">
        <v>79</v>
      </c>
      <c r="E39" s="94">
        <v>104</v>
      </c>
      <c r="F39" s="69">
        <v>43680</v>
      </c>
      <c r="G39" s="83">
        <f t="shared" si="0"/>
        <v>420</v>
      </c>
      <c r="H39" s="84" t="s">
        <v>56</v>
      </c>
      <c r="I39" s="11"/>
      <c r="J39" s="13" t="s">
        <v>74</v>
      </c>
    </row>
    <row r="40" spans="1:10" ht="15.6" hidden="1" customHeight="1" x14ac:dyDescent="0.3">
      <c r="A40" s="67" t="s">
        <v>94</v>
      </c>
      <c r="B40" s="5" t="s">
        <v>110</v>
      </c>
      <c r="C40" s="5" t="s">
        <v>53</v>
      </c>
      <c r="D40" s="4" t="s">
        <v>75</v>
      </c>
      <c r="E40" s="94">
        <v>304</v>
      </c>
      <c r="F40" s="69">
        <v>106400</v>
      </c>
      <c r="G40" s="83">
        <f t="shared" si="0"/>
        <v>350</v>
      </c>
      <c r="H40" s="84" t="s">
        <v>56</v>
      </c>
      <c r="I40" s="11"/>
      <c r="J40" s="13" t="s">
        <v>74</v>
      </c>
    </row>
    <row r="41" spans="1:10" ht="15.6" hidden="1" customHeight="1" x14ac:dyDescent="0.3">
      <c r="A41" s="67" t="s">
        <v>94</v>
      </c>
      <c r="B41" s="5" t="s">
        <v>110</v>
      </c>
      <c r="C41" s="5" t="s">
        <v>53</v>
      </c>
      <c r="D41" s="4" t="s">
        <v>83</v>
      </c>
      <c r="E41" s="94">
        <v>304</v>
      </c>
      <c r="F41" s="69">
        <v>195776</v>
      </c>
      <c r="G41" s="83">
        <f t="shared" si="0"/>
        <v>644</v>
      </c>
      <c r="H41" s="84" t="s">
        <v>56</v>
      </c>
      <c r="I41" s="11"/>
      <c r="J41" s="13" t="s">
        <v>74</v>
      </c>
    </row>
    <row r="42" spans="1:10" ht="15.6" hidden="1" customHeight="1" x14ac:dyDescent="0.3">
      <c r="A42" s="67" t="s">
        <v>94</v>
      </c>
      <c r="B42" s="5" t="s">
        <v>110</v>
      </c>
      <c r="C42" s="5" t="s">
        <v>53</v>
      </c>
      <c r="D42" s="4" t="s">
        <v>79</v>
      </c>
      <c r="E42" s="94">
        <v>200</v>
      </c>
      <c r="F42" s="69">
        <v>84000</v>
      </c>
      <c r="G42" s="83">
        <f t="shared" si="0"/>
        <v>420</v>
      </c>
      <c r="H42" s="84" t="s">
        <v>56</v>
      </c>
      <c r="I42" s="11"/>
      <c r="J42" s="13" t="s">
        <v>74</v>
      </c>
    </row>
    <row r="43" spans="1:10" ht="15.6" hidden="1" customHeight="1" x14ac:dyDescent="0.3">
      <c r="A43" s="67" t="s">
        <v>94</v>
      </c>
      <c r="B43" s="5" t="s">
        <v>110</v>
      </c>
      <c r="C43" s="5" t="s">
        <v>53</v>
      </c>
      <c r="D43" s="4" t="s">
        <v>86</v>
      </c>
      <c r="E43" s="94">
        <v>304</v>
      </c>
      <c r="F43" s="69">
        <v>202160</v>
      </c>
      <c r="G43" s="83">
        <f t="shared" si="0"/>
        <v>665</v>
      </c>
      <c r="H43" s="84" t="s">
        <v>56</v>
      </c>
      <c r="I43" s="11"/>
      <c r="J43" s="13" t="s">
        <v>74</v>
      </c>
    </row>
    <row r="44" spans="1:10" ht="15.6" hidden="1" customHeight="1" x14ac:dyDescent="0.3">
      <c r="A44" s="67" t="s">
        <v>94</v>
      </c>
      <c r="B44" s="5" t="s">
        <v>110</v>
      </c>
      <c r="C44" s="5" t="s">
        <v>53</v>
      </c>
      <c r="D44" s="4" t="s">
        <v>82</v>
      </c>
      <c r="E44" s="94">
        <v>600</v>
      </c>
      <c r="F44" s="69">
        <v>218400</v>
      </c>
      <c r="G44" s="83">
        <f t="shared" si="0"/>
        <v>364</v>
      </c>
      <c r="H44" s="84" t="s">
        <v>56</v>
      </c>
      <c r="I44" s="11"/>
      <c r="J44" s="13" t="s">
        <v>74</v>
      </c>
    </row>
    <row r="45" spans="1:10" ht="15.6" hidden="1" customHeight="1" x14ac:dyDescent="0.3">
      <c r="A45" s="67" t="s">
        <v>94</v>
      </c>
      <c r="B45" s="5" t="s">
        <v>110</v>
      </c>
      <c r="C45" s="5" t="s">
        <v>53</v>
      </c>
      <c r="D45" s="4" t="s">
        <v>85</v>
      </c>
      <c r="E45" s="94">
        <v>600</v>
      </c>
      <c r="F45" s="69">
        <v>285600</v>
      </c>
      <c r="G45" s="83">
        <f t="shared" si="0"/>
        <v>476</v>
      </c>
      <c r="H45" s="84" t="s">
        <v>56</v>
      </c>
      <c r="I45" s="11"/>
      <c r="J45" s="13" t="s">
        <v>74</v>
      </c>
    </row>
    <row r="46" spans="1:10" ht="15.6" hidden="1" customHeight="1" x14ac:dyDescent="0.3">
      <c r="A46" s="67" t="s">
        <v>94</v>
      </c>
      <c r="B46" s="87" t="s">
        <v>111</v>
      </c>
      <c r="C46" s="87" t="s">
        <v>53</v>
      </c>
      <c r="D46" s="86" t="s">
        <v>76</v>
      </c>
      <c r="E46" s="94">
        <v>60</v>
      </c>
      <c r="F46" s="69">
        <v>51000</v>
      </c>
      <c r="G46" s="83">
        <f t="shared" si="0"/>
        <v>850</v>
      </c>
      <c r="H46" s="84" t="s">
        <v>56</v>
      </c>
      <c r="I46" s="11"/>
      <c r="J46" s="13" t="s">
        <v>74</v>
      </c>
    </row>
    <row r="47" spans="1:10" ht="15.6" hidden="1" customHeight="1" x14ac:dyDescent="0.3">
      <c r="A47" s="67" t="s">
        <v>94</v>
      </c>
      <c r="B47" s="5" t="s">
        <v>112</v>
      </c>
      <c r="C47" s="5" t="s">
        <v>53</v>
      </c>
      <c r="D47" s="4" t="s">
        <v>78</v>
      </c>
      <c r="E47" s="94">
        <v>300</v>
      </c>
      <c r="F47" s="69">
        <v>110250</v>
      </c>
      <c r="G47" s="83">
        <f t="shared" si="0"/>
        <v>367.5</v>
      </c>
      <c r="H47" s="84" t="s">
        <v>56</v>
      </c>
      <c r="I47" s="11"/>
      <c r="J47" s="13" t="s">
        <v>74</v>
      </c>
    </row>
    <row r="48" spans="1:10" ht="15.6" hidden="1" customHeight="1" x14ac:dyDescent="0.3">
      <c r="A48" s="67" t="s">
        <v>94</v>
      </c>
      <c r="B48" s="5" t="s">
        <v>91</v>
      </c>
      <c r="C48" s="87" t="s">
        <v>53</v>
      </c>
      <c r="D48" s="86" t="s">
        <v>86</v>
      </c>
      <c r="E48" s="94">
        <v>40</v>
      </c>
      <c r="F48" s="69">
        <v>34200</v>
      </c>
      <c r="G48" s="83">
        <f t="shared" si="0"/>
        <v>855</v>
      </c>
      <c r="H48" s="84" t="s">
        <v>56</v>
      </c>
      <c r="I48" s="11"/>
      <c r="J48" s="13" t="s">
        <v>74</v>
      </c>
    </row>
    <row r="49" spans="1:10" ht="15.6" hidden="1" customHeight="1" x14ac:dyDescent="0.3">
      <c r="A49" s="67" t="s">
        <v>94</v>
      </c>
      <c r="B49" s="5" t="s">
        <v>90</v>
      </c>
      <c r="C49" s="87" t="s">
        <v>53</v>
      </c>
      <c r="D49" s="86" t="s">
        <v>86</v>
      </c>
      <c r="E49" s="94">
        <v>64</v>
      </c>
      <c r="F49" s="69">
        <v>60800</v>
      </c>
      <c r="G49" s="83">
        <f t="shared" si="0"/>
        <v>950</v>
      </c>
      <c r="H49" s="84" t="s">
        <v>56</v>
      </c>
      <c r="I49" s="11"/>
      <c r="J49" s="13" t="s">
        <v>74</v>
      </c>
    </row>
    <row r="50" spans="1:10" ht="15.6" hidden="1" customHeight="1" x14ac:dyDescent="0.3">
      <c r="A50" s="67" t="s">
        <v>94</v>
      </c>
      <c r="B50" s="5" t="s">
        <v>90</v>
      </c>
      <c r="C50" s="87" t="s">
        <v>53</v>
      </c>
      <c r="D50" s="86" t="s">
        <v>75</v>
      </c>
      <c r="E50" s="94">
        <v>24</v>
      </c>
      <c r="F50" s="69">
        <v>12000</v>
      </c>
      <c r="G50" s="83">
        <f t="shared" si="0"/>
        <v>500</v>
      </c>
      <c r="H50" s="84" t="s">
        <v>56</v>
      </c>
      <c r="I50" s="11"/>
      <c r="J50" s="13" t="s">
        <v>74</v>
      </c>
    </row>
    <row r="51" spans="1:10" ht="15.6" hidden="1" customHeight="1" x14ac:dyDescent="0.3">
      <c r="A51" s="67" t="s">
        <v>94</v>
      </c>
      <c r="B51" s="5" t="s">
        <v>95</v>
      </c>
      <c r="C51" s="87" t="s">
        <v>53</v>
      </c>
      <c r="D51" s="86" t="s">
        <v>59</v>
      </c>
      <c r="E51" s="94">
        <v>162</v>
      </c>
      <c r="F51" s="69">
        <v>26730</v>
      </c>
      <c r="G51" s="83">
        <f t="shared" si="0"/>
        <v>165</v>
      </c>
      <c r="H51" s="84" t="s">
        <v>56</v>
      </c>
      <c r="I51" s="11"/>
      <c r="J51" s="13" t="s">
        <v>100</v>
      </c>
    </row>
    <row r="52" spans="1:10" ht="15.6" hidden="1" customHeight="1" x14ac:dyDescent="0.3">
      <c r="A52" s="67" t="s">
        <v>94</v>
      </c>
      <c r="B52" s="5" t="s">
        <v>95</v>
      </c>
      <c r="C52" s="87" t="s">
        <v>53</v>
      </c>
      <c r="D52" s="86" t="s">
        <v>59</v>
      </c>
      <c r="E52" s="94">
        <v>162</v>
      </c>
      <c r="F52" s="69">
        <v>26730</v>
      </c>
      <c r="G52" s="83">
        <f t="shared" si="0"/>
        <v>165</v>
      </c>
      <c r="H52" s="84" t="s">
        <v>56</v>
      </c>
      <c r="I52" s="11"/>
      <c r="J52" s="13" t="s">
        <v>100</v>
      </c>
    </row>
    <row r="53" spans="1:10" ht="15.6" hidden="1" customHeight="1" x14ac:dyDescent="0.3">
      <c r="A53" s="67" t="s">
        <v>94</v>
      </c>
      <c r="B53" s="5" t="s">
        <v>95</v>
      </c>
      <c r="C53" s="87" t="s">
        <v>53</v>
      </c>
      <c r="D53" s="86" t="s">
        <v>59</v>
      </c>
      <c r="E53" s="94">
        <v>162</v>
      </c>
      <c r="F53" s="69">
        <v>26730</v>
      </c>
      <c r="G53" s="83">
        <f t="shared" si="0"/>
        <v>165</v>
      </c>
      <c r="H53" s="84" t="s">
        <v>56</v>
      </c>
      <c r="I53" s="11"/>
      <c r="J53" s="13" t="s">
        <v>100</v>
      </c>
    </row>
    <row r="54" spans="1:10" ht="15.6" hidden="1" customHeight="1" x14ac:dyDescent="0.3">
      <c r="A54" s="67" t="s">
        <v>94</v>
      </c>
      <c r="B54" s="5" t="s">
        <v>110</v>
      </c>
      <c r="C54" s="5" t="s">
        <v>53</v>
      </c>
      <c r="D54" s="4" t="s">
        <v>83</v>
      </c>
      <c r="E54" s="94">
        <v>288</v>
      </c>
      <c r="F54" s="69">
        <v>185472</v>
      </c>
      <c r="G54" s="83">
        <f t="shared" si="0"/>
        <v>644</v>
      </c>
      <c r="H54" s="84" t="s">
        <v>56</v>
      </c>
      <c r="I54" s="11"/>
      <c r="J54" s="13" t="s">
        <v>74</v>
      </c>
    </row>
    <row r="55" spans="1:10" ht="15.6" hidden="1" customHeight="1" x14ac:dyDescent="0.3">
      <c r="A55" s="67" t="s">
        <v>94</v>
      </c>
      <c r="B55" s="5" t="s">
        <v>108</v>
      </c>
      <c r="C55" s="87" t="s">
        <v>53</v>
      </c>
      <c r="D55" s="86" t="s">
        <v>83</v>
      </c>
      <c r="E55" s="94">
        <v>16</v>
      </c>
      <c r="F55" s="69">
        <v>12272</v>
      </c>
      <c r="G55" s="83">
        <f t="shared" si="0"/>
        <v>767</v>
      </c>
      <c r="H55" s="84" t="s">
        <v>56</v>
      </c>
      <c r="I55" s="11"/>
      <c r="J55" s="13" t="s">
        <v>74</v>
      </c>
    </row>
    <row r="56" spans="1:10" ht="15.6" hidden="1" customHeight="1" x14ac:dyDescent="0.3">
      <c r="A56" s="67" t="s">
        <v>94</v>
      </c>
      <c r="B56" s="5" t="s">
        <v>112</v>
      </c>
      <c r="C56" s="5" t="s">
        <v>53</v>
      </c>
      <c r="D56" s="4" t="s">
        <v>55</v>
      </c>
      <c r="E56" s="94">
        <v>3024</v>
      </c>
      <c r="F56" s="69">
        <v>391608</v>
      </c>
      <c r="G56" s="83">
        <f t="shared" si="0"/>
        <v>129.5</v>
      </c>
      <c r="H56" s="84" t="s">
        <v>56</v>
      </c>
      <c r="I56" s="11"/>
      <c r="J56" s="13" t="s">
        <v>74</v>
      </c>
    </row>
    <row r="57" spans="1:10" ht="15.6" hidden="1" customHeight="1" x14ac:dyDescent="0.3">
      <c r="A57" s="67" t="s">
        <v>94</v>
      </c>
      <c r="B57" s="5" t="s">
        <v>90</v>
      </c>
      <c r="C57" s="5" t="s">
        <v>53</v>
      </c>
      <c r="D57" s="86" t="s">
        <v>78</v>
      </c>
      <c r="E57" s="94">
        <v>168</v>
      </c>
      <c r="F57" s="69">
        <v>82320</v>
      </c>
      <c r="G57" s="83">
        <f t="shared" si="0"/>
        <v>490</v>
      </c>
      <c r="H57" s="84" t="s">
        <v>56</v>
      </c>
      <c r="I57" s="11"/>
      <c r="J57" s="13" t="s">
        <v>74</v>
      </c>
    </row>
    <row r="58" spans="1:10" ht="15.6" hidden="1" customHeight="1" x14ac:dyDescent="0.3">
      <c r="A58" s="67" t="s">
        <v>94</v>
      </c>
      <c r="B58" s="5" t="s">
        <v>108</v>
      </c>
      <c r="C58" s="87" t="s">
        <v>53</v>
      </c>
      <c r="D58" s="86" t="s">
        <v>87</v>
      </c>
      <c r="E58" s="81">
        <v>156</v>
      </c>
      <c r="F58" s="69">
        <v>213727.8</v>
      </c>
      <c r="G58" s="83">
        <f t="shared" si="0"/>
        <v>1370.05</v>
      </c>
      <c r="H58" s="84" t="s">
        <v>56</v>
      </c>
      <c r="I58" s="11"/>
      <c r="J58" s="13" t="s">
        <v>74</v>
      </c>
    </row>
    <row r="59" spans="1:10" ht="15.6" hidden="1" customHeight="1" x14ac:dyDescent="0.3">
      <c r="A59" s="67" t="s">
        <v>94</v>
      </c>
      <c r="B59" s="5" t="s">
        <v>114</v>
      </c>
      <c r="C59" s="5" t="s">
        <v>53</v>
      </c>
      <c r="D59" s="4" t="s">
        <v>75</v>
      </c>
      <c r="E59" s="94">
        <v>15</v>
      </c>
      <c r="F59" s="69">
        <v>5250</v>
      </c>
      <c r="G59" s="83">
        <f t="shared" si="0"/>
        <v>350</v>
      </c>
      <c r="H59" s="84" t="s">
        <v>56</v>
      </c>
      <c r="I59" s="11"/>
      <c r="J59" s="13" t="s">
        <v>74</v>
      </c>
    </row>
    <row r="60" spans="1:10" ht="15.6" hidden="1" customHeight="1" x14ac:dyDescent="0.3">
      <c r="A60" s="67" t="s">
        <v>94</v>
      </c>
      <c r="B60" s="5" t="s">
        <v>114</v>
      </c>
      <c r="C60" s="5" t="s">
        <v>53</v>
      </c>
      <c r="D60" s="4" t="s">
        <v>58</v>
      </c>
      <c r="E60" s="94">
        <v>30</v>
      </c>
      <c r="F60" s="69">
        <v>7770</v>
      </c>
      <c r="G60" s="83">
        <f t="shared" si="0"/>
        <v>259</v>
      </c>
      <c r="H60" s="84" t="s">
        <v>56</v>
      </c>
      <c r="I60" s="11"/>
      <c r="J60" s="13" t="s">
        <v>74</v>
      </c>
    </row>
    <row r="61" spans="1:10" ht="15.6" hidden="1" customHeight="1" x14ac:dyDescent="0.3">
      <c r="A61" s="67" t="s">
        <v>94</v>
      </c>
      <c r="B61" s="5" t="s">
        <v>114</v>
      </c>
      <c r="C61" s="5" t="s">
        <v>53</v>
      </c>
      <c r="D61" s="4" t="s">
        <v>75</v>
      </c>
      <c r="E61" s="94">
        <v>45</v>
      </c>
      <c r="F61" s="69">
        <v>15750</v>
      </c>
      <c r="G61" s="83">
        <f t="shared" si="0"/>
        <v>350</v>
      </c>
      <c r="H61" s="84" t="s">
        <v>56</v>
      </c>
      <c r="I61" s="11"/>
      <c r="J61" s="13" t="s">
        <v>74</v>
      </c>
    </row>
    <row r="62" spans="1:10" ht="15.6" hidden="1" customHeight="1" x14ac:dyDescent="0.3">
      <c r="A62" s="67" t="s">
        <v>94</v>
      </c>
      <c r="B62" s="5" t="s">
        <v>114</v>
      </c>
      <c r="C62" s="5" t="s">
        <v>53</v>
      </c>
      <c r="D62" s="4" t="s">
        <v>58</v>
      </c>
      <c r="E62" s="94">
        <v>82</v>
      </c>
      <c r="F62" s="69">
        <v>21238</v>
      </c>
      <c r="G62" s="83">
        <f t="shared" si="0"/>
        <v>259</v>
      </c>
      <c r="H62" s="84" t="s">
        <v>56</v>
      </c>
      <c r="I62" s="11"/>
      <c r="J62" s="13" t="s">
        <v>74</v>
      </c>
    </row>
    <row r="63" spans="1:10" ht="15.6" hidden="1" customHeight="1" x14ac:dyDescent="0.3">
      <c r="A63" s="67" t="s">
        <v>94</v>
      </c>
      <c r="B63" s="5" t="s">
        <v>90</v>
      </c>
      <c r="C63" s="87" t="s">
        <v>53</v>
      </c>
      <c r="D63" s="86" t="s">
        <v>75</v>
      </c>
      <c r="E63" s="94">
        <v>256</v>
      </c>
      <c r="F63" s="69">
        <v>128000</v>
      </c>
      <c r="G63" s="83">
        <f t="shared" si="0"/>
        <v>500</v>
      </c>
      <c r="H63" s="84" t="s">
        <v>56</v>
      </c>
      <c r="I63" s="11"/>
      <c r="J63" s="13" t="s">
        <v>74</v>
      </c>
    </row>
    <row r="64" spans="1:10" ht="15.6" hidden="1" customHeight="1" x14ac:dyDescent="0.3">
      <c r="A64" s="67" t="s">
        <v>94</v>
      </c>
      <c r="B64" s="5" t="s">
        <v>115</v>
      </c>
      <c r="C64" s="5" t="s">
        <v>53</v>
      </c>
      <c r="D64" s="4" t="s">
        <v>58</v>
      </c>
      <c r="E64" s="94">
        <v>1032</v>
      </c>
      <c r="F64" s="69">
        <v>267288</v>
      </c>
      <c r="G64" s="83">
        <f t="shared" si="0"/>
        <v>259</v>
      </c>
      <c r="H64" s="84" t="s">
        <v>56</v>
      </c>
      <c r="I64" s="11"/>
      <c r="J64" s="13" t="s">
        <v>74</v>
      </c>
    </row>
    <row r="65" spans="1:10" ht="15.6" hidden="1" customHeight="1" x14ac:dyDescent="0.3">
      <c r="A65" s="67" t="s">
        <v>94</v>
      </c>
      <c r="B65" s="5" t="s">
        <v>98</v>
      </c>
      <c r="C65" s="5" t="s">
        <v>53</v>
      </c>
      <c r="D65" s="4" t="s">
        <v>69</v>
      </c>
      <c r="E65" s="68">
        <v>2000</v>
      </c>
      <c r="F65" s="69">
        <v>2200000</v>
      </c>
      <c r="G65" s="83">
        <f t="shared" si="0"/>
        <v>1100</v>
      </c>
      <c r="H65" s="84" t="s">
        <v>56</v>
      </c>
      <c r="I65" s="11"/>
      <c r="J65" s="13" t="s">
        <v>68</v>
      </c>
    </row>
    <row r="66" spans="1:10" ht="15.6" hidden="1" customHeight="1" x14ac:dyDescent="0.3">
      <c r="A66" s="67" t="s">
        <v>94</v>
      </c>
      <c r="B66" s="5" t="s">
        <v>102</v>
      </c>
      <c r="C66" s="87" t="s">
        <v>53</v>
      </c>
      <c r="D66" s="86" t="s">
        <v>70</v>
      </c>
      <c r="E66" s="68">
        <v>30</v>
      </c>
      <c r="F66" s="69">
        <v>54000</v>
      </c>
      <c r="G66" s="83">
        <f t="shared" ref="G66:G113" si="1">F66/E66</f>
        <v>1800</v>
      </c>
      <c r="H66" s="84" t="s">
        <v>56</v>
      </c>
      <c r="I66" s="11"/>
      <c r="J66" s="13" t="s">
        <v>68</v>
      </c>
    </row>
    <row r="67" spans="1:10" ht="15.6" hidden="1" customHeight="1" x14ac:dyDescent="0.3">
      <c r="A67" s="67" t="s">
        <v>94</v>
      </c>
      <c r="B67" s="5" t="s">
        <v>105</v>
      </c>
      <c r="C67" s="87" t="s">
        <v>53</v>
      </c>
      <c r="D67" s="86" t="s">
        <v>54</v>
      </c>
      <c r="E67" s="68">
        <v>15</v>
      </c>
      <c r="F67" s="69">
        <v>67500</v>
      </c>
      <c r="G67" s="83">
        <f t="shared" si="1"/>
        <v>4500</v>
      </c>
      <c r="H67" s="84" t="s">
        <v>56</v>
      </c>
      <c r="I67" s="11"/>
      <c r="J67" s="13" t="s">
        <v>65</v>
      </c>
    </row>
    <row r="68" spans="1:10" ht="15.6" hidden="1" customHeight="1" x14ac:dyDescent="0.3">
      <c r="A68" s="67" t="s">
        <v>94</v>
      </c>
      <c r="B68" s="5" t="s">
        <v>113</v>
      </c>
      <c r="C68" s="5" t="s">
        <v>53</v>
      </c>
      <c r="D68" s="8" t="s">
        <v>70</v>
      </c>
      <c r="E68" s="68">
        <v>100</v>
      </c>
      <c r="F68" s="69">
        <v>135000</v>
      </c>
      <c r="G68" s="83">
        <f t="shared" si="1"/>
        <v>1350</v>
      </c>
      <c r="H68" s="84" t="s">
        <v>56</v>
      </c>
      <c r="I68" s="11"/>
      <c r="J68" s="13" t="s">
        <v>68</v>
      </c>
    </row>
    <row r="69" spans="1:10" ht="15.6" hidden="1" customHeight="1" x14ac:dyDescent="0.3">
      <c r="A69" s="67" t="s">
        <v>94</v>
      </c>
      <c r="B69" s="5" t="s">
        <v>113</v>
      </c>
      <c r="C69" s="87" t="s">
        <v>53</v>
      </c>
      <c r="D69" s="86" t="s">
        <v>54</v>
      </c>
      <c r="E69" s="68">
        <v>10</v>
      </c>
      <c r="F69" s="69">
        <v>46000</v>
      </c>
      <c r="G69" s="83">
        <f t="shared" si="1"/>
        <v>4600</v>
      </c>
      <c r="H69" s="84" t="s">
        <v>56</v>
      </c>
      <c r="I69" s="11"/>
      <c r="J69" s="13" t="s">
        <v>65</v>
      </c>
    </row>
    <row r="70" spans="1:10" ht="15.6" hidden="1" customHeight="1" x14ac:dyDescent="0.3">
      <c r="A70" s="67" t="s">
        <v>94</v>
      </c>
      <c r="B70" s="5" t="s">
        <v>92</v>
      </c>
      <c r="C70" s="5" t="s">
        <v>53</v>
      </c>
      <c r="D70" s="4" t="s">
        <v>52</v>
      </c>
      <c r="E70" s="68">
        <v>190</v>
      </c>
      <c r="F70" s="69">
        <v>122550</v>
      </c>
      <c r="G70" s="83">
        <f t="shared" si="1"/>
        <v>645</v>
      </c>
      <c r="H70" s="84" t="s">
        <v>56</v>
      </c>
      <c r="I70" s="11"/>
      <c r="J70" s="13" t="s">
        <v>68</v>
      </c>
    </row>
    <row r="71" spans="1:10" ht="15.6" hidden="1" customHeight="1" x14ac:dyDescent="0.3">
      <c r="A71" s="67" t="s">
        <v>94</v>
      </c>
      <c r="B71" s="5" t="s">
        <v>92</v>
      </c>
      <c r="C71" s="5" t="s">
        <v>53</v>
      </c>
      <c r="D71" s="4" t="s">
        <v>67</v>
      </c>
      <c r="E71" s="68">
        <v>8</v>
      </c>
      <c r="F71" s="69">
        <v>28000</v>
      </c>
      <c r="G71" s="83">
        <f t="shared" si="1"/>
        <v>3500</v>
      </c>
      <c r="H71" s="84" t="s">
        <v>56</v>
      </c>
      <c r="I71" s="11"/>
      <c r="J71" s="13" t="s">
        <v>65</v>
      </c>
    </row>
    <row r="72" spans="1:10" ht="15.6" hidden="1" customHeight="1" x14ac:dyDescent="0.3">
      <c r="A72" s="67" t="s">
        <v>94</v>
      </c>
      <c r="B72" s="5" t="s">
        <v>98</v>
      </c>
      <c r="C72" s="87" t="s">
        <v>53</v>
      </c>
      <c r="D72" s="86" t="s">
        <v>69</v>
      </c>
      <c r="E72" s="68">
        <v>300</v>
      </c>
      <c r="F72" s="69">
        <v>355500</v>
      </c>
      <c r="G72" s="83">
        <f t="shared" si="1"/>
        <v>1185</v>
      </c>
      <c r="H72" s="84" t="s">
        <v>56</v>
      </c>
      <c r="I72" s="11"/>
      <c r="J72" s="13" t="s">
        <v>68</v>
      </c>
    </row>
    <row r="73" spans="1:10" ht="15.6" hidden="1" customHeight="1" x14ac:dyDescent="0.3">
      <c r="A73" s="67" t="s">
        <v>94</v>
      </c>
      <c r="B73" s="5" t="s">
        <v>98</v>
      </c>
      <c r="C73" s="87" t="s">
        <v>53</v>
      </c>
      <c r="D73" s="86" t="s">
        <v>67</v>
      </c>
      <c r="E73" s="68">
        <v>40</v>
      </c>
      <c r="F73" s="69">
        <v>184000</v>
      </c>
      <c r="G73" s="83">
        <f t="shared" si="1"/>
        <v>4600</v>
      </c>
      <c r="H73" s="84" t="s">
        <v>56</v>
      </c>
      <c r="I73" s="11"/>
      <c r="J73" s="13" t="s">
        <v>65</v>
      </c>
    </row>
    <row r="74" spans="1:10" ht="15.6" hidden="1" customHeight="1" x14ac:dyDescent="0.3">
      <c r="A74" s="67" t="s">
        <v>94</v>
      </c>
      <c r="B74" s="5" t="s">
        <v>95</v>
      </c>
      <c r="C74" s="87" t="s">
        <v>53</v>
      </c>
      <c r="D74" s="86" t="s">
        <v>59</v>
      </c>
      <c r="E74" s="94">
        <v>135</v>
      </c>
      <c r="F74" s="69">
        <v>22275</v>
      </c>
      <c r="G74" s="83">
        <f t="shared" si="1"/>
        <v>165</v>
      </c>
      <c r="H74" s="84" t="s">
        <v>56</v>
      </c>
      <c r="I74" s="11"/>
      <c r="J74" s="13" t="s">
        <v>100</v>
      </c>
    </row>
    <row r="75" spans="1:10" ht="15.6" hidden="1" customHeight="1" x14ac:dyDescent="0.3">
      <c r="A75" s="67" t="s">
        <v>94</v>
      </c>
      <c r="B75" s="5" t="s">
        <v>95</v>
      </c>
      <c r="C75" s="87" t="s">
        <v>53</v>
      </c>
      <c r="D75" s="86" t="s">
        <v>59</v>
      </c>
      <c r="E75" s="94">
        <v>135</v>
      </c>
      <c r="F75" s="69">
        <v>22275</v>
      </c>
      <c r="G75" s="83">
        <f t="shared" si="1"/>
        <v>165</v>
      </c>
      <c r="H75" s="84" t="s">
        <v>56</v>
      </c>
      <c r="I75" s="11"/>
      <c r="J75" s="13" t="s">
        <v>100</v>
      </c>
    </row>
    <row r="76" spans="1:10" ht="15.6" hidden="1" customHeight="1" x14ac:dyDescent="0.3">
      <c r="A76" s="67" t="s">
        <v>94</v>
      </c>
      <c r="B76" s="5" t="s">
        <v>95</v>
      </c>
      <c r="C76" s="87" t="s">
        <v>53</v>
      </c>
      <c r="D76" s="86" t="s">
        <v>59</v>
      </c>
      <c r="E76" s="94">
        <v>135</v>
      </c>
      <c r="F76" s="69">
        <v>22275</v>
      </c>
      <c r="G76" s="83">
        <f t="shared" si="1"/>
        <v>165</v>
      </c>
      <c r="H76" s="84" t="s">
        <v>56</v>
      </c>
      <c r="I76" s="11"/>
      <c r="J76" s="13" t="s">
        <v>100</v>
      </c>
    </row>
    <row r="77" spans="1:10" ht="15.6" hidden="1" customHeight="1" x14ac:dyDescent="0.3">
      <c r="A77" s="67" t="s">
        <v>94</v>
      </c>
      <c r="B77" s="5" t="s">
        <v>110</v>
      </c>
      <c r="C77" s="5" t="s">
        <v>53</v>
      </c>
      <c r="D77" s="4" t="s">
        <v>87</v>
      </c>
      <c r="E77" s="81">
        <v>108</v>
      </c>
      <c r="F77" s="69">
        <v>103576.31999999999</v>
      </c>
      <c r="G77" s="83">
        <f t="shared" si="1"/>
        <v>959.04</v>
      </c>
      <c r="H77" s="1" t="s">
        <v>56</v>
      </c>
      <c r="I77" s="11"/>
      <c r="J77" s="13" t="s">
        <v>74</v>
      </c>
    </row>
    <row r="78" spans="1:10" ht="15.6" hidden="1" customHeight="1" x14ac:dyDescent="0.3">
      <c r="A78" s="67" t="s">
        <v>121</v>
      </c>
      <c r="B78" s="80" t="s">
        <v>96</v>
      </c>
      <c r="C78" s="87" t="s">
        <v>53</v>
      </c>
      <c r="D78" s="86" t="s">
        <v>70</v>
      </c>
      <c r="E78" s="94">
        <v>300</v>
      </c>
      <c r="F78" s="69">
        <v>465000</v>
      </c>
      <c r="G78" s="83">
        <f t="shared" si="1"/>
        <v>1550</v>
      </c>
      <c r="H78" s="1" t="s">
        <v>56</v>
      </c>
      <c r="I78" s="11"/>
      <c r="J78" s="13" t="s">
        <v>68</v>
      </c>
    </row>
    <row r="79" spans="1:10" ht="15.6" hidden="1" customHeight="1" x14ac:dyDescent="0.3">
      <c r="A79" s="67" t="s">
        <v>121</v>
      </c>
      <c r="B79" s="5" t="s">
        <v>92</v>
      </c>
      <c r="C79" s="5" t="s">
        <v>53</v>
      </c>
      <c r="D79" s="4" t="s">
        <v>52</v>
      </c>
      <c r="E79" s="94">
        <v>660</v>
      </c>
      <c r="F79" s="69">
        <v>425700</v>
      </c>
      <c r="G79" s="83">
        <f t="shared" si="1"/>
        <v>645</v>
      </c>
      <c r="H79" s="1" t="s">
        <v>56</v>
      </c>
      <c r="I79" s="11"/>
      <c r="J79" s="13" t="s">
        <v>68</v>
      </c>
    </row>
    <row r="80" spans="1:10" ht="15.6" hidden="1" customHeight="1" x14ac:dyDescent="0.3">
      <c r="A80" s="67" t="s">
        <v>121</v>
      </c>
      <c r="B80" s="5" t="s">
        <v>95</v>
      </c>
      <c r="C80" s="87" t="s">
        <v>53</v>
      </c>
      <c r="D80" s="86" t="s">
        <v>59</v>
      </c>
      <c r="E80" s="94">
        <v>1215</v>
      </c>
      <c r="F80" s="69">
        <v>200475</v>
      </c>
      <c r="G80" s="83">
        <f t="shared" si="1"/>
        <v>165</v>
      </c>
      <c r="H80" s="1" t="s">
        <v>56</v>
      </c>
      <c r="I80" s="11"/>
      <c r="J80" s="13" t="s">
        <v>100</v>
      </c>
    </row>
    <row r="81" spans="1:10" ht="15.6" customHeight="1" x14ac:dyDescent="0.3">
      <c r="A81" s="67" t="s">
        <v>121</v>
      </c>
      <c r="B81" s="5" t="s">
        <v>91</v>
      </c>
      <c r="C81" s="87" t="s">
        <v>53</v>
      </c>
      <c r="D81" s="86" t="s">
        <v>86</v>
      </c>
      <c r="E81" s="94">
        <v>40</v>
      </c>
      <c r="F81" s="69">
        <v>34200</v>
      </c>
      <c r="G81" s="102">
        <f>F81/E81</f>
        <v>855</v>
      </c>
      <c r="H81" s="1" t="s">
        <v>56</v>
      </c>
      <c r="I81" s="11"/>
      <c r="J81" s="13" t="s">
        <v>74</v>
      </c>
    </row>
    <row r="82" spans="1:10" ht="15.6" customHeight="1" x14ac:dyDescent="0.3">
      <c r="A82" s="67" t="s">
        <v>121</v>
      </c>
      <c r="B82" s="5" t="s">
        <v>90</v>
      </c>
      <c r="C82" s="87" t="s">
        <v>53</v>
      </c>
      <c r="D82" s="86" t="s">
        <v>75</v>
      </c>
      <c r="E82" s="68">
        <v>112</v>
      </c>
      <c r="F82" s="69">
        <v>46704</v>
      </c>
      <c r="G82" s="102">
        <f>F82/E82</f>
        <v>417</v>
      </c>
      <c r="H82" s="1" t="s">
        <v>56</v>
      </c>
      <c r="I82" s="11"/>
      <c r="J82" s="13" t="s">
        <v>74</v>
      </c>
    </row>
    <row r="83" spans="1:10" ht="15.6" customHeight="1" x14ac:dyDescent="0.3">
      <c r="A83" s="67" t="s">
        <v>121</v>
      </c>
      <c r="B83" s="5" t="s">
        <v>129</v>
      </c>
      <c r="C83" s="87" t="s">
        <v>53</v>
      </c>
      <c r="D83" s="86" t="s">
        <v>55</v>
      </c>
      <c r="E83" s="68">
        <v>27</v>
      </c>
      <c r="F83" s="69">
        <v>4158</v>
      </c>
      <c r="G83" s="102">
        <f>F83/E83</f>
        <v>154</v>
      </c>
      <c r="H83" s="1" t="s">
        <v>56</v>
      </c>
      <c r="I83" s="11"/>
      <c r="J83" s="13" t="s">
        <v>74</v>
      </c>
    </row>
    <row r="84" spans="1:10" ht="15.6" customHeight="1" x14ac:dyDescent="0.3">
      <c r="A84" s="67" t="s">
        <v>121</v>
      </c>
      <c r="B84" s="5" t="s">
        <v>129</v>
      </c>
      <c r="C84" s="87" t="s">
        <v>53</v>
      </c>
      <c r="D84" s="86" t="s">
        <v>58</v>
      </c>
      <c r="E84" s="68">
        <v>8</v>
      </c>
      <c r="F84" s="69">
        <v>2464</v>
      </c>
      <c r="G84" s="102">
        <f>F84/E84</f>
        <v>308</v>
      </c>
      <c r="H84" s="1" t="s">
        <v>56</v>
      </c>
      <c r="I84" s="11"/>
      <c r="J84" s="13" t="s">
        <v>74</v>
      </c>
    </row>
    <row r="85" spans="1:10" ht="15.6" customHeight="1" x14ac:dyDescent="0.3">
      <c r="A85" s="67" t="s">
        <v>121</v>
      </c>
      <c r="B85" s="5" t="s">
        <v>129</v>
      </c>
      <c r="C85" s="87" t="s">
        <v>53</v>
      </c>
      <c r="D85" s="86" t="s">
        <v>75</v>
      </c>
      <c r="E85" s="68">
        <v>24</v>
      </c>
      <c r="F85" s="69">
        <v>10008</v>
      </c>
      <c r="G85" s="102">
        <f>F85/E85</f>
        <v>417</v>
      </c>
      <c r="H85" s="1" t="s">
        <v>56</v>
      </c>
      <c r="I85" s="11"/>
      <c r="J85" s="13" t="s">
        <v>74</v>
      </c>
    </row>
    <row r="86" spans="1:10" ht="15.6" hidden="1" customHeight="1" x14ac:dyDescent="0.3">
      <c r="A86" s="67" t="s">
        <v>121</v>
      </c>
      <c r="B86" s="5" t="s">
        <v>123</v>
      </c>
      <c r="C86" s="87" t="s">
        <v>53</v>
      </c>
      <c r="D86" s="86" t="s">
        <v>71</v>
      </c>
      <c r="E86" s="94">
        <v>50</v>
      </c>
      <c r="F86" s="69">
        <v>80000</v>
      </c>
      <c r="G86" s="83">
        <f>F86/E86</f>
        <v>1600</v>
      </c>
      <c r="H86" s="1" t="s">
        <v>56</v>
      </c>
      <c r="I86" s="11"/>
      <c r="J86" s="13" t="s">
        <v>68</v>
      </c>
    </row>
    <row r="87" spans="1:10" ht="15.6" hidden="1" customHeight="1" x14ac:dyDescent="0.3">
      <c r="A87" s="67" t="s">
        <v>121</v>
      </c>
      <c r="B87" s="5" t="s">
        <v>127</v>
      </c>
      <c r="C87" s="5" t="s">
        <v>53</v>
      </c>
      <c r="D87" s="4" t="s">
        <v>70</v>
      </c>
      <c r="E87" s="94">
        <v>50</v>
      </c>
      <c r="F87" s="69">
        <v>67500</v>
      </c>
      <c r="G87" s="83">
        <f>F87/E87</f>
        <v>1350</v>
      </c>
      <c r="H87" s="1" t="s">
        <v>56</v>
      </c>
      <c r="I87" s="11"/>
      <c r="J87" s="13" t="s">
        <v>68</v>
      </c>
    </row>
    <row r="88" spans="1:10" ht="15.6" hidden="1" customHeight="1" x14ac:dyDescent="0.3">
      <c r="A88" s="67" t="s">
        <v>121</v>
      </c>
      <c r="B88" s="5" t="s">
        <v>124</v>
      </c>
      <c r="C88" s="87" t="s">
        <v>106</v>
      </c>
      <c r="D88" s="86" t="s">
        <v>71</v>
      </c>
      <c r="E88" s="94">
        <v>140</v>
      </c>
      <c r="F88" s="69">
        <v>329280</v>
      </c>
      <c r="G88" s="83">
        <f>F88/E88</f>
        <v>2352</v>
      </c>
      <c r="H88" s="1" t="s">
        <v>125</v>
      </c>
      <c r="I88" s="11"/>
      <c r="J88" s="13" t="s">
        <v>68</v>
      </c>
    </row>
    <row r="89" spans="1:10" ht="15.6" hidden="1" customHeight="1" x14ac:dyDescent="0.3">
      <c r="A89" s="67" t="s">
        <v>121</v>
      </c>
      <c r="B89" s="5" t="s">
        <v>126</v>
      </c>
      <c r="C89" s="87" t="s">
        <v>53</v>
      </c>
      <c r="D89" s="86" t="s">
        <v>52</v>
      </c>
      <c r="E89" s="94">
        <v>50</v>
      </c>
      <c r="F89" s="69">
        <v>40950</v>
      </c>
      <c r="G89" s="83">
        <f>F89/E89</f>
        <v>819</v>
      </c>
      <c r="H89" s="1" t="s">
        <v>56</v>
      </c>
      <c r="I89" s="11"/>
      <c r="J89" s="13" t="s">
        <v>68</v>
      </c>
    </row>
    <row r="90" spans="1:10" ht="15.6" hidden="1" customHeight="1" x14ac:dyDescent="0.3">
      <c r="A90" s="67" t="s">
        <v>121</v>
      </c>
      <c r="B90" s="5" t="s">
        <v>92</v>
      </c>
      <c r="C90" s="5" t="s">
        <v>53</v>
      </c>
      <c r="D90" s="4" t="s">
        <v>52</v>
      </c>
      <c r="E90" s="94">
        <v>60</v>
      </c>
      <c r="F90" s="69">
        <v>38700</v>
      </c>
      <c r="G90" s="83">
        <f>F90/E90</f>
        <v>645</v>
      </c>
      <c r="H90" s="1" t="s">
        <v>56</v>
      </c>
      <c r="I90" s="11"/>
      <c r="J90" s="13" t="s">
        <v>68</v>
      </c>
    </row>
    <row r="91" spans="1:10" ht="15.6" hidden="1" customHeight="1" x14ac:dyDescent="0.3">
      <c r="A91" s="67" t="s">
        <v>121</v>
      </c>
      <c r="B91" s="5" t="s">
        <v>127</v>
      </c>
      <c r="C91" s="5" t="s">
        <v>53</v>
      </c>
      <c r="D91" s="4" t="s">
        <v>70</v>
      </c>
      <c r="E91" s="94">
        <v>200</v>
      </c>
      <c r="F91" s="69">
        <v>270000</v>
      </c>
      <c r="G91" s="83">
        <f>F91/E91</f>
        <v>1350</v>
      </c>
      <c r="H91" s="1" t="s">
        <v>56</v>
      </c>
      <c r="I91" s="11"/>
      <c r="J91" s="13" t="s">
        <v>68</v>
      </c>
    </row>
    <row r="92" spans="1:10" ht="15.6" hidden="1" customHeight="1" x14ac:dyDescent="0.3">
      <c r="A92" s="67" t="s">
        <v>121</v>
      </c>
      <c r="B92" s="5" t="s">
        <v>91</v>
      </c>
      <c r="C92" s="87" t="s">
        <v>53</v>
      </c>
      <c r="D92" s="86" t="s">
        <v>71</v>
      </c>
      <c r="E92" s="94">
        <v>1800</v>
      </c>
      <c r="F92" s="69">
        <v>2880000</v>
      </c>
      <c r="G92" s="83">
        <f>F92/E92</f>
        <v>1600</v>
      </c>
      <c r="H92" s="1" t="s">
        <v>56</v>
      </c>
      <c r="I92" s="11"/>
      <c r="J92" s="13" t="s">
        <v>68</v>
      </c>
    </row>
    <row r="93" spans="1:10" ht="15.6" hidden="1" customHeight="1" x14ac:dyDescent="0.3">
      <c r="A93" s="67" t="s">
        <v>121</v>
      </c>
      <c r="B93" s="5" t="s">
        <v>92</v>
      </c>
      <c r="C93" s="5" t="s">
        <v>53</v>
      </c>
      <c r="D93" s="4" t="s">
        <v>52</v>
      </c>
      <c r="E93" s="94">
        <v>453</v>
      </c>
      <c r="F93" s="69">
        <v>292185</v>
      </c>
      <c r="G93" s="83">
        <f>F93/E93</f>
        <v>645</v>
      </c>
      <c r="H93" s="1" t="s">
        <v>56</v>
      </c>
      <c r="I93" s="11"/>
      <c r="J93" s="13" t="s">
        <v>68</v>
      </c>
    </row>
    <row r="94" spans="1:10" ht="15.6" hidden="1" customHeight="1" x14ac:dyDescent="0.3">
      <c r="A94" s="67" t="s">
        <v>121</v>
      </c>
      <c r="B94" s="5" t="s">
        <v>127</v>
      </c>
      <c r="C94" s="87" t="s">
        <v>53</v>
      </c>
      <c r="D94" s="86" t="s">
        <v>54</v>
      </c>
      <c r="E94" s="94">
        <v>10</v>
      </c>
      <c r="F94" s="69">
        <v>46000</v>
      </c>
      <c r="G94" s="83">
        <f>F94/E94</f>
        <v>4600</v>
      </c>
      <c r="H94" s="1" t="s">
        <v>56</v>
      </c>
      <c r="I94" s="11"/>
      <c r="J94" s="13" t="s">
        <v>65</v>
      </c>
    </row>
    <row r="95" spans="1:10" ht="15.6" hidden="1" customHeight="1" x14ac:dyDescent="0.3">
      <c r="A95" s="67" t="s">
        <v>121</v>
      </c>
      <c r="B95" s="5" t="s">
        <v>128</v>
      </c>
      <c r="C95" s="5" t="s">
        <v>53</v>
      </c>
      <c r="D95" s="4" t="s">
        <v>54</v>
      </c>
      <c r="E95" s="94">
        <v>25</v>
      </c>
      <c r="F95" s="69">
        <v>87500</v>
      </c>
      <c r="G95" s="83">
        <f>F95/E95</f>
        <v>3500</v>
      </c>
      <c r="H95" s="1" t="s">
        <v>56</v>
      </c>
      <c r="I95" s="11"/>
      <c r="J95" s="13" t="s">
        <v>65</v>
      </c>
    </row>
    <row r="96" spans="1:10" ht="15.6" hidden="1" customHeight="1" x14ac:dyDescent="0.3">
      <c r="A96" s="67" t="s">
        <v>121</v>
      </c>
      <c r="B96" s="5" t="s">
        <v>93</v>
      </c>
      <c r="C96" s="5" t="s">
        <v>53</v>
      </c>
      <c r="D96" s="4" t="s">
        <v>54</v>
      </c>
      <c r="E96" s="94">
        <v>55</v>
      </c>
      <c r="F96" s="69">
        <v>108900</v>
      </c>
      <c r="G96" s="83">
        <f>F96/E96</f>
        <v>1980</v>
      </c>
      <c r="H96" s="1" t="s">
        <v>56</v>
      </c>
      <c r="I96" s="11"/>
      <c r="J96" s="13" t="s">
        <v>65</v>
      </c>
    </row>
    <row r="97" spans="1:10" ht="15.6" hidden="1" customHeight="1" x14ac:dyDescent="0.3">
      <c r="A97" s="67" t="s">
        <v>121</v>
      </c>
      <c r="B97" s="5" t="s">
        <v>127</v>
      </c>
      <c r="C97" s="87" t="s">
        <v>53</v>
      </c>
      <c r="D97" s="86" t="s">
        <v>54</v>
      </c>
      <c r="E97" s="94">
        <v>10</v>
      </c>
      <c r="F97" s="69">
        <v>46000</v>
      </c>
      <c r="G97" s="83">
        <f>F97/E97</f>
        <v>4600</v>
      </c>
      <c r="H97" s="1" t="s">
        <v>56</v>
      </c>
      <c r="I97" s="11"/>
      <c r="J97" s="13" t="s">
        <v>65</v>
      </c>
    </row>
    <row r="98" spans="1:10" ht="15.6" hidden="1" customHeight="1" x14ac:dyDescent="0.3">
      <c r="A98" s="67" t="s">
        <v>121</v>
      </c>
      <c r="B98" s="5" t="s">
        <v>102</v>
      </c>
      <c r="C98" s="87" t="s">
        <v>53</v>
      </c>
      <c r="D98" s="86" t="s">
        <v>70</v>
      </c>
      <c r="E98" s="94">
        <v>30</v>
      </c>
      <c r="F98" s="69">
        <v>54000</v>
      </c>
      <c r="G98" s="83">
        <f>F98/E98</f>
        <v>1800</v>
      </c>
      <c r="H98" s="1" t="s">
        <v>56</v>
      </c>
      <c r="I98" s="11"/>
      <c r="J98" s="13" t="s">
        <v>68</v>
      </c>
    </row>
    <row r="99" spans="1:10" ht="15.6" hidden="1" customHeight="1" x14ac:dyDescent="0.3">
      <c r="A99" s="67" t="s">
        <v>121</v>
      </c>
      <c r="B99" s="5" t="s">
        <v>93</v>
      </c>
      <c r="C99" s="5" t="s">
        <v>53</v>
      </c>
      <c r="D99" s="4" t="s">
        <v>70</v>
      </c>
      <c r="E99" s="94">
        <v>400</v>
      </c>
      <c r="F99" s="69">
        <v>332000</v>
      </c>
      <c r="G99" s="83">
        <f>F99/E99</f>
        <v>830</v>
      </c>
      <c r="H99" s="1" t="s">
        <v>56</v>
      </c>
      <c r="I99" s="11"/>
      <c r="J99" s="13" t="s">
        <v>68</v>
      </c>
    </row>
    <row r="100" spans="1:10" ht="15.6" hidden="1" customHeight="1" x14ac:dyDescent="0.3">
      <c r="A100" s="67" t="s">
        <v>121</v>
      </c>
      <c r="B100" s="5" t="s">
        <v>129</v>
      </c>
      <c r="C100" s="87" t="s">
        <v>53</v>
      </c>
      <c r="D100" s="86" t="s">
        <v>59</v>
      </c>
      <c r="E100" s="68">
        <v>27</v>
      </c>
      <c r="F100" s="69">
        <v>4050</v>
      </c>
      <c r="G100" s="83">
        <f>F100/E100</f>
        <v>150</v>
      </c>
      <c r="H100" s="1" t="s">
        <v>56</v>
      </c>
      <c r="I100" s="11"/>
      <c r="J100" s="13" t="s">
        <v>100</v>
      </c>
    </row>
    <row r="101" spans="1:10" ht="15.6" hidden="1" customHeight="1" x14ac:dyDescent="0.3">
      <c r="A101" s="67" t="s">
        <v>121</v>
      </c>
      <c r="B101" s="5" t="s">
        <v>129</v>
      </c>
      <c r="C101" s="87" t="s">
        <v>53</v>
      </c>
      <c r="D101" s="86" t="s">
        <v>59</v>
      </c>
      <c r="E101" s="68">
        <v>27</v>
      </c>
      <c r="F101" s="69">
        <v>4050</v>
      </c>
      <c r="G101" s="83">
        <f>F101/E101</f>
        <v>150</v>
      </c>
      <c r="H101" s="1" t="s">
        <v>56</v>
      </c>
      <c r="I101" s="11"/>
      <c r="J101" s="13" t="s">
        <v>100</v>
      </c>
    </row>
    <row r="102" spans="1:10" ht="15.6" hidden="1" customHeight="1" x14ac:dyDescent="0.3">
      <c r="A102" s="67" t="s">
        <v>121</v>
      </c>
      <c r="B102" s="5" t="s">
        <v>129</v>
      </c>
      <c r="C102" s="87" t="s">
        <v>53</v>
      </c>
      <c r="D102" s="86" t="s">
        <v>59</v>
      </c>
      <c r="E102" s="68">
        <v>27</v>
      </c>
      <c r="F102" s="100">
        <v>4050</v>
      </c>
      <c r="G102" s="101">
        <f>F102/E102</f>
        <v>150</v>
      </c>
      <c r="H102" s="1" t="s">
        <v>56</v>
      </c>
      <c r="I102" s="11"/>
      <c r="J102" s="13" t="s">
        <v>100</v>
      </c>
    </row>
    <row r="103" spans="1:10" ht="15.6" hidden="1" customHeight="1" x14ac:dyDescent="0.3">
      <c r="A103" s="67" t="s">
        <v>121</v>
      </c>
      <c r="B103" s="5" t="s">
        <v>129</v>
      </c>
      <c r="C103" s="87" t="s">
        <v>53</v>
      </c>
      <c r="D103" s="86" t="s">
        <v>57</v>
      </c>
      <c r="E103" s="68">
        <v>27</v>
      </c>
      <c r="F103" s="69">
        <v>4995</v>
      </c>
      <c r="G103" s="83">
        <f>F103/E103</f>
        <v>185</v>
      </c>
      <c r="H103" s="1" t="s">
        <v>56</v>
      </c>
      <c r="I103" s="11"/>
      <c r="J103" s="13" t="s">
        <v>135</v>
      </c>
    </row>
    <row r="104" spans="1:10" ht="15.6" customHeight="1" x14ac:dyDescent="0.3">
      <c r="A104" s="67" t="s">
        <v>121</v>
      </c>
      <c r="B104" s="5" t="s">
        <v>130</v>
      </c>
      <c r="C104" s="87" t="s">
        <v>53</v>
      </c>
      <c r="D104" s="86" t="s">
        <v>75</v>
      </c>
      <c r="E104" s="68">
        <v>304</v>
      </c>
      <c r="F104" s="69">
        <v>152000</v>
      </c>
      <c r="G104" s="102">
        <f>F104/E104</f>
        <v>500</v>
      </c>
      <c r="H104" s="1" t="s">
        <v>56</v>
      </c>
      <c r="I104" s="11"/>
      <c r="J104" s="13" t="s">
        <v>74</v>
      </c>
    </row>
    <row r="105" spans="1:10" ht="15.6" customHeight="1" x14ac:dyDescent="0.3">
      <c r="A105" s="67" t="s">
        <v>121</v>
      </c>
      <c r="B105" s="5" t="s">
        <v>108</v>
      </c>
      <c r="C105" s="87" t="s">
        <v>53</v>
      </c>
      <c r="D105" s="86" t="s">
        <v>87</v>
      </c>
      <c r="E105" s="81">
        <v>84</v>
      </c>
      <c r="F105" s="69">
        <v>115084.2</v>
      </c>
      <c r="G105" s="102">
        <f>F105/E105</f>
        <v>1370.05</v>
      </c>
      <c r="H105" s="1" t="s">
        <v>56</v>
      </c>
      <c r="I105" s="11"/>
      <c r="J105" s="13" t="s">
        <v>74</v>
      </c>
    </row>
    <row r="106" spans="1:10" ht="15.6" customHeight="1" x14ac:dyDescent="0.3">
      <c r="A106" s="67" t="s">
        <v>121</v>
      </c>
      <c r="B106" s="5" t="s">
        <v>108</v>
      </c>
      <c r="C106" s="87" t="s">
        <v>53</v>
      </c>
      <c r="D106" s="86" t="s">
        <v>79</v>
      </c>
      <c r="E106" s="68">
        <v>152</v>
      </c>
      <c r="F106" s="69">
        <v>91200</v>
      </c>
      <c r="G106" s="102">
        <f>F106/E106</f>
        <v>600</v>
      </c>
      <c r="H106" s="1" t="s">
        <v>56</v>
      </c>
      <c r="I106" s="11"/>
      <c r="J106" s="13" t="s">
        <v>74</v>
      </c>
    </row>
    <row r="107" spans="1:10" ht="15.6" customHeight="1" x14ac:dyDescent="0.3">
      <c r="A107" s="67" t="s">
        <v>121</v>
      </c>
      <c r="B107" s="5" t="s">
        <v>90</v>
      </c>
      <c r="C107" s="87" t="s">
        <v>53</v>
      </c>
      <c r="D107" s="86" t="s">
        <v>75</v>
      </c>
      <c r="E107" s="68">
        <v>104</v>
      </c>
      <c r="F107" s="69">
        <v>52000</v>
      </c>
      <c r="G107" s="103">
        <f>IFERROR(F107/E107,0)</f>
        <v>500</v>
      </c>
      <c r="H107" s="1" t="s">
        <v>56</v>
      </c>
      <c r="I107" s="11"/>
      <c r="J107" s="13" t="s">
        <v>74</v>
      </c>
    </row>
    <row r="108" spans="1:10" ht="15.6" customHeight="1" x14ac:dyDescent="0.3">
      <c r="A108" s="67" t="s">
        <v>121</v>
      </c>
      <c r="B108" s="5" t="s">
        <v>91</v>
      </c>
      <c r="C108" s="87" t="s">
        <v>53</v>
      </c>
      <c r="D108" s="86" t="s">
        <v>86</v>
      </c>
      <c r="E108" s="68">
        <v>32</v>
      </c>
      <c r="F108" s="69">
        <v>27360</v>
      </c>
      <c r="G108" s="103">
        <f>IFERROR(F108/E108,0)</f>
        <v>855</v>
      </c>
      <c r="H108" s="1" t="s">
        <v>56</v>
      </c>
      <c r="I108" s="11"/>
      <c r="J108" s="13" t="s">
        <v>74</v>
      </c>
    </row>
    <row r="109" spans="1:10" ht="15.6" customHeight="1" x14ac:dyDescent="0.3">
      <c r="A109" s="67" t="s">
        <v>121</v>
      </c>
      <c r="B109" s="5" t="s">
        <v>91</v>
      </c>
      <c r="C109" s="87" t="s">
        <v>53</v>
      </c>
      <c r="D109" s="86" t="s">
        <v>58</v>
      </c>
      <c r="E109" s="68">
        <v>936</v>
      </c>
      <c r="F109" s="69">
        <v>311688</v>
      </c>
      <c r="G109" s="103">
        <f>IFERROR(F109/E109,0)</f>
        <v>333</v>
      </c>
      <c r="H109" s="1" t="s">
        <v>56</v>
      </c>
      <c r="I109" s="11"/>
      <c r="J109" s="13" t="s">
        <v>74</v>
      </c>
    </row>
    <row r="110" spans="1:10" ht="15.6" customHeight="1" x14ac:dyDescent="0.3">
      <c r="A110" s="67" t="s">
        <v>121</v>
      </c>
      <c r="B110" s="5" t="s">
        <v>91</v>
      </c>
      <c r="C110" s="87" t="s">
        <v>53</v>
      </c>
      <c r="D110" s="86" t="s">
        <v>83</v>
      </c>
      <c r="E110" s="68">
        <v>48</v>
      </c>
      <c r="F110" s="69">
        <v>39744</v>
      </c>
      <c r="G110" s="103">
        <f>IFERROR(F110/E110,0)</f>
        <v>828</v>
      </c>
      <c r="H110" s="1" t="s">
        <v>56</v>
      </c>
      <c r="I110" s="11"/>
      <c r="J110" s="13" t="s">
        <v>74</v>
      </c>
    </row>
    <row r="111" spans="1:10" ht="15.6" customHeight="1" x14ac:dyDescent="0.3">
      <c r="A111" s="67" t="s">
        <v>121</v>
      </c>
      <c r="B111" s="5" t="s">
        <v>134</v>
      </c>
      <c r="C111" s="87" t="s">
        <v>106</v>
      </c>
      <c r="D111" s="86" t="s">
        <v>81</v>
      </c>
      <c r="E111" s="68">
        <v>40</v>
      </c>
      <c r="F111" s="69">
        <v>16302</v>
      </c>
      <c r="G111" s="103">
        <f>IFERROR(F111/E111,0)</f>
        <v>407.55</v>
      </c>
      <c r="H111" s="1" t="s">
        <v>125</v>
      </c>
      <c r="I111" s="11"/>
      <c r="J111" s="13" t="s">
        <v>74</v>
      </c>
    </row>
    <row r="112" spans="1:10" ht="15.6" customHeight="1" x14ac:dyDescent="0.3">
      <c r="A112" s="67" t="s">
        <v>121</v>
      </c>
      <c r="B112" s="5" t="s">
        <v>134</v>
      </c>
      <c r="C112" s="87" t="s">
        <v>106</v>
      </c>
      <c r="D112" s="86" t="s">
        <v>75</v>
      </c>
      <c r="E112" s="68">
        <v>100</v>
      </c>
      <c r="F112" s="69">
        <v>70465.983333333003</v>
      </c>
      <c r="G112" s="103">
        <f>IFERROR(F112/E112,0)</f>
        <v>704.65983333332997</v>
      </c>
      <c r="H112" s="1" t="s">
        <v>125</v>
      </c>
      <c r="I112" s="11"/>
      <c r="J112" s="13" t="s">
        <v>74</v>
      </c>
    </row>
    <row r="113" spans="1:10" ht="15.6" customHeight="1" x14ac:dyDescent="0.3">
      <c r="A113" s="67" t="s">
        <v>121</v>
      </c>
      <c r="B113" s="5" t="s">
        <v>134</v>
      </c>
      <c r="C113" s="87" t="s">
        <v>106</v>
      </c>
      <c r="D113" s="86" t="s">
        <v>79</v>
      </c>
      <c r="E113" s="68">
        <v>35</v>
      </c>
      <c r="F113" s="69">
        <v>27092.593333333498</v>
      </c>
      <c r="G113" s="103">
        <f>IFERROR(F113/E113,0)</f>
        <v>774.07409523809997</v>
      </c>
      <c r="H113" s="1" t="s">
        <v>125</v>
      </c>
      <c r="I113" s="11"/>
      <c r="J113" s="13" t="s">
        <v>74</v>
      </c>
    </row>
    <row r="114" spans="1:10" ht="15.6" customHeight="1" x14ac:dyDescent="0.3">
      <c r="A114" s="67" t="s">
        <v>121</v>
      </c>
      <c r="B114" s="5" t="s">
        <v>115</v>
      </c>
      <c r="C114" s="5" t="s">
        <v>53</v>
      </c>
      <c r="D114" s="4" t="s">
        <v>85</v>
      </c>
      <c r="E114" s="94">
        <v>152</v>
      </c>
      <c r="F114" s="69">
        <v>80620.800000000003</v>
      </c>
      <c r="G114" s="102">
        <f>F114/E114</f>
        <v>530.4</v>
      </c>
      <c r="H114" s="1" t="s">
        <v>56</v>
      </c>
      <c r="I114" s="11"/>
      <c r="J114" s="13" t="s">
        <v>74</v>
      </c>
    </row>
    <row r="115" spans="1:10" ht="15.6" customHeight="1" x14ac:dyDescent="0.3">
      <c r="A115" s="67" t="s">
        <v>121</v>
      </c>
      <c r="B115" s="5" t="s">
        <v>115</v>
      </c>
      <c r="C115" s="5" t="s">
        <v>53</v>
      </c>
      <c r="D115" s="4" t="s">
        <v>58</v>
      </c>
      <c r="E115" s="94">
        <v>2200</v>
      </c>
      <c r="F115" s="69">
        <v>569800</v>
      </c>
      <c r="G115" s="102">
        <f>F115/E115</f>
        <v>259</v>
      </c>
      <c r="H115" s="1" t="s">
        <v>56</v>
      </c>
      <c r="I115" s="11"/>
      <c r="J115" s="13" t="s">
        <v>74</v>
      </c>
    </row>
    <row r="116" spans="1:10" ht="15.6" customHeight="1" x14ac:dyDescent="0.3">
      <c r="A116" s="67" t="s">
        <v>121</v>
      </c>
      <c r="B116" s="5" t="s">
        <v>122</v>
      </c>
      <c r="C116" s="5" t="s">
        <v>106</v>
      </c>
      <c r="D116" s="4" t="s">
        <v>87</v>
      </c>
      <c r="E116" s="81">
        <v>715</v>
      </c>
      <c r="F116" s="69">
        <v>677543.05</v>
      </c>
      <c r="G116" s="102">
        <f>F116/E116</f>
        <v>947.61265734265737</v>
      </c>
      <c r="H116" s="1" t="s">
        <v>107</v>
      </c>
      <c r="I116" s="11"/>
      <c r="J116" s="13" t="s">
        <v>74</v>
      </c>
    </row>
    <row r="117" spans="1:10" ht="15.6" customHeight="1" x14ac:dyDescent="0.3">
      <c r="A117" s="67" t="s">
        <v>121</v>
      </c>
      <c r="B117" s="5" t="s">
        <v>108</v>
      </c>
      <c r="C117" s="5" t="s">
        <v>53</v>
      </c>
      <c r="D117" s="4" t="s">
        <v>76</v>
      </c>
      <c r="E117" s="68">
        <v>60</v>
      </c>
      <c r="F117" s="69">
        <v>40320</v>
      </c>
      <c r="G117" s="102">
        <f>F117/E117</f>
        <v>672</v>
      </c>
      <c r="H117" s="1" t="s">
        <v>56</v>
      </c>
      <c r="I117" s="11"/>
      <c r="J117" s="13" t="s">
        <v>74</v>
      </c>
    </row>
    <row r="118" spans="1:10" ht="15.6" customHeight="1" x14ac:dyDescent="0.3">
      <c r="A118" s="67" t="s">
        <v>121</v>
      </c>
      <c r="B118" s="5" t="s">
        <v>109</v>
      </c>
      <c r="C118" s="5" t="s">
        <v>53</v>
      </c>
      <c r="D118" s="4" t="s">
        <v>75</v>
      </c>
      <c r="E118" s="68">
        <v>120</v>
      </c>
      <c r="F118" s="69">
        <v>42000</v>
      </c>
      <c r="G118" s="102">
        <f>F118/E118</f>
        <v>350</v>
      </c>
      <c r="H118" s="1" t="s">
        <v>56</v>
      </c>
      <c r="I118" s="11"/>
      <c r="J118" s="13" t="s">
        <v>74</v>
      </c>
    </row>
    <row r="119" spans="1:10" ht="15.6" customHeight="1" x14ac:dyDescent="0.3">
      <c r="A119" s="67" t="s">
        <v>121</v>
      </c>
      <c r="B119" s="5" t="s">
        <v>109</v>
      </c>
      <c r="C119" s="5" t="s">
        <v>53</v>
      </c>
      <c r="D119" s="4" t="s">
        <v>79</v>
      </c>
      <c r="E119" s="68">
        <v>80</v>
      </c>
      <c r="F119" s="69">
        <v>33600</v>
      </c>
      <c r="G119" s="102">
        <f>F119/E119</f>
        <v>420</v>
      </c>
      <c r="H119" s="1" t="s">
        <v>56</v>
      </c>
      <c r="I119" s="11"/>
      <c r="J119" s="13" t="s">
        <v>74</v>
      </c>
    </row>
    <row r="120" spans="1:10" ht="15.6" customHeight="1" x14ac:dyDescent="0.3">
      <c r="A120" s="67" t="s">
        <v>121</v>
      </c>
      <c r="B120" s="5" t="s">
        <v>109</v>
      </c>
      <c r="C120" s="5" t="s">
        <v>53</v>
      </c>
      <c r="D120" s="4" t="s">
        <v>86</v>
      </c>
      <c r="E120" s="68">
        <v>120</v>
      </c>
      <c r="F120" s="69">
        <v>79800</v>
      </c>
      <c r="G120" s="102">
        <f>F120/E120</f>
        <v>665</v>
      </c>
      <c r="H120" s="1" t="s">
        <v>56</v>
      </c>
      <c r="I120" s="11"/>
      <c r="J120" s="13" t="s">
        <v>74</v>
      </c>
    </row>
    <row r="121" spans="1:10" ht="15.6" customHeight="1" x14ac:dyDescent="0.3">
      <c r="A121" s="67" t="s">
        <v>121</v>
      </c>
      <c r="B121" s="5" t="s">
        <v>109</v>
      </c>
      <c r="C121" s="5" t="s">
        <v>53</v>
      </c>
      <c r="D121" s="4" t="s">
        <v>84</v>
      </c>
      <c r="E121" s="68">
        <v>270</v>
      </c>
      <c r="F121" s="69">
        <v>43470</v>
      </c>
      <c r="G121" s="103">
        <f>IFERROR(F121/E121,0)</f>
        <v>161</v>
      </c>
      <c r="H121" s="1" t="s">
        <v>56</v>
      </c>
      <c r="I121" s="11"/>
      <c r="J121" s="13" t="s">
        <v>74</v>
      </c>
    </row>
    <row r="122" spans="1:10" ht="15.6" customHeight="1" x14ac:dyDescent="0.3">
      <c r="A122" s="67" t="s">
        <v>121</v>
      </c>
      <c r="B122" s="5" t="s">
        <v>109</v>
      </c>
      <c r="C122" s="5" t="s">
        <v>53</v>
      </c>
      <c r="D122" s="4" t="s">
        <v>81</v>
      </c>
      <c r="E122" s="68">
        <v>270</v>
      </c>
      <c r="F122" s="69">
        <v>37800</v>
      </c>
      <c r="G122" s="103">
        <f>IFERROR(F122/E122,0)</f>
        <v>140</v>
      </c>
      <c r="H122" s="1" t="s">
        <v>56</v>
      </c>
      <c r="I122" s="11"/>
      <c r="J122" s="13" t="s">
        <v>74</v>
      </c>
    </row>
    <row r="123" spans="1:10" ht="15.6" customHeight="1" x14ac:dyDescent="0.3">
      <c r="A123" s="67" t="s">
        <v>121</v>
      </c>
      <c r="B123" s="5" t="s">
        <v>110</v>
      </c>
      <c r="C123" s="5" t="s">
        <v>53</v>
      </c>
      <c r="D123" s="4" t="s">
        <v>76</v>
      </c>
      <c r="E123" s="68">
        <v>24</v>
      </c>
      <c r="F123" s="69">
        <v>16128</v>
      </c>
      <c r="G123" s="103">
        <f>IFERROR(F123/E123,0)</f>
        <v>672</v>
      </c>
      <c r="H123" s="1" t="s">
        <v>56</v>
      </c>
      <c r="I123" s="11"/>
      <c r="J123" s="13" t="s">
        <v>74</v>
      </c>
    </row>
    <row r="124" spans="1:10" ht="15.6" customHeight="1" x14ac:dyDescent="0.3">
      <c r="A124" s="67" t="s">
        <v>121</v>
      </c>
      <c r="B124" s="5" t="s">
        <v>112</v>
      </c>
      <c r="C124" s="5" t="s">
        <v>53</v>
      </c>
      <c r="D124" s="4" t="s">
        <v>55</v>
      </c>
      <c r="E124" s="68">
        <v>2619</v>
      </c>
      <c r="F124" s="69">
        <v>339160.5</v>
      </c>
      <c r="G124" s="103">
        <f>IFERROR(F124/E124,0)</f>
        <v>129.5</v>
      </c>
      <c r="H124" s="1" t="s">
        <v>56</v>
      </c>
      <c r="I124" s="11"/>
      <c r="J124" s="13" t="s">
        <v>74</v>
      </c>
    </row>
    <row r="125" spans="1:10" ht="15.6" customHeight="1" x14ac:dyDescent="0.3">
      <c r="A125" s="67" t="s">
        <v>121</v>
      </c>
      <c r="B125" s="5" t="s">
        <v>112</v>
      </c>
      <c r="C125" s="5" t="s">
        <v>53</v>
      </c>
      <c r="D125" s="4" t="s">
        <v>78</v>
      </c>
      <c r="E125" s="68">
        <v>300</v>
      </c>
      <c r="F125" s="69">
        <v>110250</v>
      </c>
      <c r="G125" s="103">
        <f>IFERROR(F125/E125,0)</f>
        <v>367.5</v>
      </c>
      <c r="H125" s="1" t="s">
        <v>56</v>
      </c>
      <c r="I125" s="11"/>
      <c r="J125" s="13" t="s">
        <v>74</v>
      </c>
    </row>
    <row r="126" spans="1:10" ht="15.6" customHeight="1" x14ac:dyDescent="0.3">
      <c r="A126" s="67" t="s">
        <v>121</v>
      </c>
      <c r="B126" s="5" t="s">
        <v>91</v>
      </c>
      <c r="C126" s="5" t="s">
        <v>53</v>
      </c>
      <c r="D126" s="4" t="s">
        <v>78</v>
      </c>
      <c r="E126" s="68">
        <v>1200</v>
      </c>
      <c r="F126" s="69">
        <v>420000</v>
      </c>
      <c r="G126" s="103">
        <f>IFERROR(F126/E126,0)</f>
        <v>350</v>
      </c>
      <c r="H126" s="1" t="s">
        <v>56</v>
      </c>
      <c r="I126" s="11"/>
      <c r="J126" s="13" t="s">
        <v>74</v>
      </c>
    </row>
    <row r="127" spans="1:10" ht="15.6" customHeight="1" x14ac:dyDescent="0.3">
      <c r="A127" s="67" t="s">
        <v>121</v>
      </c>
      <c r="B127" s="5" t="s">
        <v>131</v>
      </c>
      <c r="C127" s="5" t="s">
        <v>106</v>
      </c>
      <c r="D127" s="4" t="s">
        <v>76</v>
      </c>
      <c r="E127" s="68">
        <v>249</v>
      </c>
      <c r="F127" s="69">
        <v>173362.93999999983</v>
      </c>
      <c r="G127" s="103">
        <f>IFERROR(F127/E127,0)</f>
        <v>696.23670682730858</v>
      </c>
      <c r="H127" s="1" t="s">
        <v>125</v>
      </c>
      <c r="I127" s="11"/>
      <c r="J127" s="13" t="s">
        <v>74</v>
      </c>
    </row>
    <row r="128" spans="1:10" ht="15.6" customHeight="1" x14ac:dyDescent="0.3">
      <c r="A128" s="67" t="s">
        <v>121</v>
      </c>
      <c r="B128" s="5" t="s">
        <v>132</v>
      </c>
      <c r="C128" s="5" t="s">
        <v>106</v>
      </c>
      <c r="D128" s="4" t="s">
        <v>84</v>
      </c>
      <c r="E128" s="68">
        <v>11200</v>
      </c>
      <c r="F128" s="69">
        <v>1341424</v>
      </c>
      <c r="G128" s="103">
        <f>IFERROR(F128/E128,0)</f>
        <v>119.77</v>
      </c>
      <c r="H128" s="1" t="s">
        <v>125</v>
      </c>
      <c r="I128" s="11"/>
      <c r="J128" s="13" t="s">
        <v>74</v>
      </c>
    </row>
    <row r="129" spans="1:10" ht="15.6" customHeight="1" x14ac:dyDescent="0.3">
      <c r="A129" s="67" t="s">
        <v>121</v>
      </c>
      <c r="B129" s="5" t="s">
        <v>133</v>
      </c>
      <c r="C129" s="5" t="s">
        <v>106</v>
      </c>
      <c r="D129" s="4" t="s">
        <v>55</v>
      </c>
      <c r="E129" s="68">
        <v>1620</v>
      </c>
      <c r="F129" s="69">
        <v>287963.09999999998</v>
      </c>
      <c r="G129" s="103">
        <f>IFERROR(F129/E129,0)</f>
        <v>177.755</v>
      </c>
      <c r="H129" s="1" t="s">
        <v>125</v>
      </c>
      <c r="I129" s="11"/>
      <c r="J129" s="13" t="s">
        <v>74</v>
      </c>
    </row>
    <row r="130" spans="1:10" ht="15.6" hidden="1" customHeight="1" x14ac:dyDescent="0.3">
      <c r="A130" s="67"/>
      <c r="B130" s="5"/>
      <c r="C130" s="5"/>
      <c r="D130" s="4"/>
      <c r="E130" s="68"/>
      <c r="F130" s="69"/>
      <c r="G130" s="70">
        <f t="shared" ref="G115:G145" si="2">IFERROR(F130/E130,0)</f>
        <v>0</v>
      </c>
      <c r="H130" s="1"/>
      <c r="I130" s="11"/>
      <c r="J130" s="13"/>
    </row>
    <row r="131" spans="1:10" ht="15.6" hidden="1" customHeight="1" x14ac:dyDescent="0.3">
      <c r="A131" s="67"/>
      <c r="B131" s="5"/>
      <c r="C131" s="5"/>
      <c r="D131" s="4"/>
      <c r="E131" s="68"/>
      <c r="F131" s="69"/>
      <c r="G131" s="70">
        <f t="shared" si="2"/>
        <v>0</v>
      </c>
      <c r="H131" s="1"/>
      <c r="I131" s="11"/>
      <c r="J131" s="13"/>
    </row>
    <row r="132" spans="1:10" ht="15.6" hidden="1" customHeight="1" x14ac:dyDescent="0.3">
      <c r="A132" s="67"/>
      <c r="B132" s="5"/>
      <c r="C132" s="5"/>
      <c r="D132" s="4"/>
      <c r="E132" s="68"/>
      <c r="F132" s="69"/>
      <c r="G132" s="70">
        <f t="shared" si="2"/>
        <v>0</v>
      </c>
      <c r="H132" s="1"/>
      <c r="I132" s="11"/>
      <c r="J132" s="13"/>
    </row>
    <row r="133" spans="1:10" ht="15.6" hidden="1" customHeight="1" x14ac:dyDescent="0.3">
      <c r="A133" s="67"/>
      <c r="B133" s="5"/>
      <c r="C133" s="5"/>
      <c r="D133" s="4"/>
      <c r="E133" s="68"/>
      <c r="F133" s="69"/>
      <c r="G133" s="70">
        <f t="shared" si="2"/>
        <v>0</v>
      </c>
      <c r="H133" s="1"/>
      <c r="I133" s="11"/>
      <c r="J133" s="13"/>
    </row>
    <row r="134" spans="1:10" ht="15.6" hidden="1" customHeight="1" x14ac:dyDescent="0.3">
      <c r="A134" s="67"/>
      <c r="B134" s="5"/>
      <c r="C134" s="5"/>
      <c r="D134" s="4"/>
      <c r="E134" s="68"/>
      <c r="F134" s="69"/>
      <c r="G134" s="70">
        <f t="shared" si="2"/>
        <v>0</v>
      </c>
      <c r="H134" s="1"/>
      <c r="I134" s="11"/>
      <c r="J134" s="13"/>
    </row>
    <row r="135" spans="1:10" ht="15.6" hidden="1" customHeight="1" x14ac:dyDescent="0.3">
      <c r="A135" s="67"/>
      <c r="B135" s="5"/>
      <c r="C135" s="5"/>
      <c r="D135" s="4"/>
      <c r="E135" s="68"/>
      <c r="F135" s="69"/>
      <c r="G135" s="70">
        <f t="shared" si="2"/>
        <v>0</v>
      </c>
      <c r="H135" s="1"/>
      <c r="I135" s="11"/>
      <c r="J135" s="13"/>
    </row>
    <row r="136" spans="1:10" ht="15.6" hidden="1" customHeight="1" x14ac:dyDescent="0.3">
      <c r="A136" s="67"/>
      <c r="B136" s="5"/>
      <c r="C136" s="5"/>
      <c r="D136" s="4"/>
      <c r="E136" s="68"/>
      <c r="F136" s="69"/>
      <c r="G136" s="70">
        <f t="shared" si="2"/>
        <v>0</v>
      </c>
      <c r="H136" s="1"/>
      <c r="I136" s="11"/>
      <c r="J136" s="13"/>
    </row>
    <row r="137" spans="1:10" ht="15.6" hidden="1" customHeight="1" x14ac:dyDescent="0.3">
      <c r="A137" s="67"/>
      <c r="B137" s="5"/>
      <c r="C137" s="5"/>
      <c r="D137" s="4"/>
      <c r="E137" s="68"/>
      <c r="F137" s="69"/>
      <c r="G137" s="70">
        <f t="shared" si="2"/>
        <v>0</v>
      </c>
      <c r="H137" s="1"/>
      <c r="I137" s="11"/>
      <c r="J137" s="13"/>
    </row>
    <row r="138" spans="1:10" ht="15.6" hidden="1" customHeight="1" x14ac:dyDescent="0.3">
      <c r="A138" s="67"/>
      <c r="B138" s="5"/>
      <c r="C138" s="5"/>
      <c r="D138" s="4"/>
      <c r="E138" s="68"/>
      <c r="F138" s="69"/>
      <c r="G138" s="70">
        <f t="shared" si="2"/>
        <v>0</v>
      </c>
      <c r="H138" s="1"/>
      <c r="I138" s="11"/>
      <c r="J138" s="13"/>
    </row>
    <row r="139" spans="1:10" ht="15.6" hidden="1" customHeight="1" x14ac:dyDescent="0.3">
      <c r="A139" s="67"/>
      <c r="B139" s="5"/>
      <c r="C139" s="5"/>
      <c r="D139" s="4"/>
      <c r="E139" s="68"/>
      <c r="F139" s="69"/>
      <c r="G139" s="70">
        <f t="shared" si="2"/>
        <v>0</v>
      </c>
      <c r="H139" s="1"/>
      <c r="I139" s="11"/>
      <c r="J139" s="13"/>
    </row>
    <row r="140" spans="1:10" ht="15.6" hidden="1" customHeight="1" x14ac:dyDescent="0.3">
      <c r="A140" s="67"/>
      <c r="B140" s="5"/>
      <c r="C140" s="5"/>
      <c r="D140" s="4"/>
      <c r="E140" s="68"/>
      <c r="F140" s="69"/>
      <c r="G140" s="70">
        <f t="shared" si="2"/>
        <v>0</v>
      </c>
      <c r="H140" s="1"/>
      <c r="I140" s="11"/>
      <c r="J140" s="13"/>
    </row>
    <row r="141" spans="1:10" ht="15.6" hidden="1" customHeight="1" x14ac:dyDescent="0.3">
      <c r="A141" s="67"/>
      <c r="B141" s="5"/>
      <c r="C141" s="5"/>
      <c r="D141" s="4"/>
      <c r="E141" s="68"/>
      <c r="F141" s="69"/>
      <c r="G141" s="70">
        <f t="shared" si="2"/>
        <v>0</v>
      </c>
      <c r="H141" s="1"/>
      <c r="I141" s="11"/>
      <c r="J141" s="13"/>
    </row>
    <row r="142" spans="1:10" ht="15.6" hidden="1" customHeight="1" x14ac:dyDescent="0.3">
      <c r="A142" s="67"/>
      <c r="B142" s="5"/>
      <c r="C142" s="5"/>
      <c r="D142" s="4"/>
      <c r="E142" s="68"/>
      <c r="F142" s="69"/>
      <c r="G142" s="70">
        <f t="shared" si="2"/>
        <v>0</v>
      </c>
      <c r="H142" s="1"/>
      <c r="I142" s="11"/>
      <c r="J142" s="13"/>
    </row>
    <row r="143" spans="1:10" ht="15.6" hidden="1" customHeight="1" x14ac:dyDescent="0.3">
      <c r="A143" s="67"/>
      <c r="B143" s="5"/>
      <c r="C143" s="5"/>
      <c r="D143" s="4"/>
      <c r="E143" s="68"/>
      <c r="F143" s="69"/>
      <c r="G143" s="70">
        <f t="shared" si="2"/>
        <v>0</v>
      </c>
      <c r="H143" s="1"/>
      <c r="I143" s="11"/>
      <c r="J143" s="13"/>
    </row>
    <row r="144" spans="1:10" ht="15.6" hidden="1" customHeight="1" x14ac:dyDescent="0.3">
      <c r="A144" s="67"/>
      <c r="B144" s="5"/>
      <c r="C144" s="5"/>
      <c r="D144" s="4"/>
      <c r="E144" s="68"/>
      <c r="F144" s="69"/>
      <c r="G144" s="70">
        <f t="shared" si="2"/>
        <v>0</v>
      </c>
      <c r="H144" s="1"/>
      <c r="I144" s="11"/>
      <c r="J144" s="13"/>
    </row>
    <row r="145" spans="1:10" ht="15.6" hidden="1" customHeight="1" x14ac:dyDescent="0.3">
      <c r="A145" s="67"/>
      <c r="B145" s="5"/>
      <c r="C145" s="5"/>
      <c r="D145" s="4"/>
      <c r="E145" s="68"/>
      <c r="F145" s="69"/>
      <c r="G145" s="70">
        <f t="shared" si="2"/>
        <v>0</v>
      </c>
      <c r="H145" s="1"/>
      <c r="I145" s="11"/>
      <c r="J145" s="13"/>
    </row>
  </sheetData>
  <autoFilter ref="A2:J145" xr:uid="{00000000-0009-0000-0000-000001000000}">
    <filterColumn colId="0">
      <filters>
        <filter val="2 кв."/>
      </filters>
    </filterColumn>
    <filterColumn colId="9">
      <filters>
        <filter val="ЭП"/>
      </filters>
    </filterColumn>
    <sortState xmlns:xlrd2="http://schemas.microsoft.com/office/spreadsheetml/2017/richdata2" ref="A81:J129">
      <sortCondition sortBy="cellColor" ref="D2:D145" dxfId="0"/>
    </sortState>
  </autoFilter>
  <phoneticPr fontId="20" type="noConversion"/>
  <dataValidations count="3">
    <dataValidation type="list" allowBlank="1" showInputMessage="1" showErrorMessage="1" sqref="H3:H145" xr:uid="{00000000-0002-0000-0100-000000000000}">
      <formula1>"Шелдонфарма, Иннованта,ИП Кобзев,Новаторика"</formula1>
    </dataValidation>
    <dataValidation type="list" allowBlank="1" showInputMessage="1" showErrorMessage="1" sqref="A3:A145" xr:uid="{00000000-0002-0000-0100-000001000000}">
      <formula1>"1 кв.,2 кв.,3 кв.,4 кв.,"</formula1>
    </dataValidation>
    <dataValidation type="list" allowBlank="1" showInputMessage="1" showErrorMessage="1" sqref="C3:C145" xr:uid="{00000000-0002-0000-0100-000002000000}">
      <formula1>"ЛПУ,дистрибьютер"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#REF!</xm:f>
          </x14:formula1>
          <xm:sqref>D3:D145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A912-2E24-4C41-AF54-D6489D331923}">
  <sheetPr codeName="Лист5"/>
  <dimension ref="A2:D28"/>
  <sheetViews>
    <sheetView workbookViewId="0">
      <selection activeCell="D28" sqref="D28"/>
    </sheetView>
  </sheetViews>
  <sheetFormatPr defaultRowHeight="14.4" x14ac:dyDescent="0.3"/>
  <cols>
    <col min="1" max="1" width="51.6640625" bestFit="1" customWidth="1"/>
    <col min="2" max="2" width="11.77734375" bestFit="1" customWidth="1"/>
    <col min="3" max="3" width="15.88671875" bestFit="1" customWidth="1"/>
    <col min="4" max="4" width="22.6640625" bestFit="1" customWidth="1"/>
  </cols>
  <sheetData>
    <row r="2" spans="1:4" ht="28.8" x14ac:dyDescent="0.3">
      <c r="A2" s="7" t="s">
        <v>60</v>
      </c>
      <c r="B2" s="7" t="s">
        <v>61</v>
      </c>
      <c r="C2" s="28" t="s">
        <v>62</v>
      </c>
      <c r="D2" s="28" t="s">
        <v>63</v>
      </c>
    </row>
    <row r="3" spans="1:4" x14ac:dyDescent="0.3">
      <c r="A3" s="8" t="s">
        <v>64</v>
      </c>
      <c r="B3" s="9" t="s">
        <v>65</v>
      </c>
      <c r="C3" s="10">
        <v>5000</v>
      </c>
      <c r="D3" s="10">
        <v>4000</v>
      </c>
    </row>
    <row r="4" spans="1:4" x14ac:dyDescent="0.3">
      <c r="A4" s="8" t="s">
        <v>54</v>
      </c>
      <c r="B4" s="9" t="s">
        <v>66</v>
      </c>
      <c r="C4" s="10">
        <v>5500</v>
      </c>
      <c r="D4" s="10">
        <v>4500</v>
      </c>
    </row>
    <row r="5" spans="1:4" x14ac:dyDescent="0.3">
      <c r="A5" s="8" t="s">
        <v>67</v>
      </c>
      <c r="B5" s="9" t="s">
        <v>66</v>
      </c>
      <c r="C5" s="10">
        <v>5000</v>
      </c>
      <c r="D5" s="10">
        <v>4000</v>
      </c>
    </row>
    <row r="6" spans="1:4" x14ac:dyDescent="0.3">
      <c r="A6" s="8" t="s">
        <v>69</v>
      </c>
      <c r="B6" s="9" t="s">
        <v>68</v>
      </c>
      <c r="C6" s="10">
        <v>1600</v>
      </c>
      <c r="D6" s="10">
        <v>1120</v>
      </c>
    </row>
    <row r="7" spans="1:4" x14ac:dyDescent="0.3">
      <c r="A7" s="8" t="s">
        <v>70</v>
      </c>
      <c r="B7" s="9" t="s">
        <v>68</v>
      </c>
      <c r="C7" s="10">
        <v>1700</v>
      </c>
      <c r="D7" s="10">
        <v>1440</v>
      </c>
    </row>
    <row r="8" spans="1:4" x14ac:dyDescent="0.3">
      <c r="A8" s="8" t="s">
        <v>71</v>
      </c>
      <c r="B8" s="9" t="s">
        <v>68</v>
      </c>
      <c r="C8" s="10">
        <v>1700</v>
      </c>
      <c r="D8" s="10">
        <v>1440</v>
      </c>
    </row>
    <row r="9" spans="1:4" x14ac:dyDescent="0.3">
      <c r="A9" s="8" t="s">
        <v>72</v>
      </c>
      <c r="B9" s="9" t="s">
        <v>68</v>
      </c>
      <c r="C9" s="10">
        <v>1700</v>
      </c>
      <c r="D9" s="10">
        <v>1440</v>
      </c>
    </row>
    <row r="10" spans="1:4" x14ac:dyDescent="0.3">
      <c r="A10" s="8" t="s">
        <v>52</v>
      </c>
      <c r="B10" s="9" t="s">
        <v>68</v>
      </c>
      <c r="C10" s="10">
        <v>1200</v>
      </c>
      <c r="D10" s="10">
        <v>736</v>
      </c>
    </row>
    <row r="11" spans="1:4" x14ac:dyDescent="0.3">
      <c r="A11" s="8" t="s">
        <v>73</v>
      </c>
      <c r="B11" s="9" t="s">
        <v>68</v>
      </c>
      <c r="C11" s="10">
        <v>1700</v>
      </c>
      <c r="D11" s="10">
        <v>1440</v>
      </c>
    </row>
    <row r="12" spans="1:4" x14ac:dyDescent="0.3">
      <c r="A12" s="8" t="s">
        <v>55</v>
      </c>
      <c r="B12" s="9" t="s">
        <v>74</v>
      </c>
      <c r="C12" s="10">
        <v>222</v>
      </c>
      <c r="D12" s="10">
        <v>154</v>
      </c>
    </row>
    <row r="13" spans="1:4" x14ac:dyDescent="0.3">
      <c r="A13" s="8" t="s">
        <v>58</v>
      </c>
      <c r="B13" s="9" t="s">
        <v>74</v>
      </c>
      <c r="C13" s="10">
        <v>444</v>
      </c>
      <c r="D13" s="10">
        <v>308</v>
      </c>
    </row>
    <row r="14" spans="1:4" ht="15" customHeight="1" x14ac:dyDescent="0.3">
      <c r="A14" s="8" t="s">
        <v>75</v>
      </c>
      <c r="B14" s="9" t="s">
        <v>74</v>
      </c>
      <c r="C14" s="10">
        <v>600</v>
      </c>
      <c r="D14" s="10">
        <v>416</v>
      </c>
    </row>
    <row r="15" spans="1:4" x14ac:dyDescent="0.3">
      <c r="A15" s="8" t="s">
        <v>76</v>
      </c>
      <c r="B15" s="9" t="s">
        <v>74</v>
      </c>
      <c r="C15" s="10">
        <v>1152</v>
      </c>
      <c r="D15" s="10">
        <v>800</v>
      </c>
    </row>
    <row r="16" spans="1:4" x14ac:dyDescent="0.3">
      <c r="A16" s="8" t="s">
        <v>77</v>
      </c>
      <c r="B16" s="9" t="s">
        <v>74</v>
      </c>
      <c r="C16" s="10">
        <v>240</v>
      </c>
      <c r="D16" s="10">
        <v>167</v>
      </c>
    </row>
    <row r="17" spans="1:4" x14ac:dyDescent="0.3">
      <c r="A17" s="8" t="s">
        <v>78</v>
      </c>
      <c r="B17" s="9" t="s">
        <v>74</v>
      </c>
      <c r="C17" s="10">
        <v>588</v>
      </c>
      <c r="D17" s="10">
        <v>408</v>
      </c>
    </row>
    <row r="18" spans="1:4" x14ac:dyDescent="0.3">
      <c r="A18" s="8" t="s">
        <v>79</v>
      </c>
      <c r="B18" s="9" t="s">
        <v>74</v>
      </c>
      <c r="C18" s="10">
        <v>720</v>
      </c>
      <c r="D18" s="10">
        <v>500</v>
      </c>
    </row>
    <row r="19" spans="1:4" x14ac:dyDescent="0.3">
      <c r="A19" s="8" t="s">
        <v>80</v>
      </c>
      <c r="B19" s="9" t="s">
        <v>74</v>
      </c>
      <c r="C19" s="10">
        <v>1188</v>
      </c>
      <c r="D19" s="10">
        <v>825.00000000000011</v>
      </c>
    </row>
    <row r="20" spans="1:4" x14ac:dyDescent="0.3">
      <c r="A20" s="8" t="s">
        <v>81</v>
      </c>
      <c r="B20" s="9" t="s">
        <v>74</v>
      </c>
      <c r="C20" s="10">
        <v>240</v>
      </c>
      <c r="D20" s="10">
        <v>167</v>
      </c>
    </row>
    <row r="21" spans="1:4" x14ac:dyDescent="0.3">
      <c r="A21" s="8" t="s">
        <v>82</v>
      </c>
      <c r="B21" s="9" t="s">
        <v>74</v>
      </c>
      <c r="C21" s="10">
        <v>624</v>
      </c>
      <c r="D21" s="10">
        <v>433</v>
      </c>
    </row>
    <row r="22" spans="1:4" x14ac:dyDescent="0.3">
      <c r="A22" s="8" t="s">
        <v>83</v>
      </c>
      <c r="B22" s="9" t="s">
        <v>74</v>
      </c>
      <c r="C22" s="10">
        <v>1104</v>
      </c>
      <c r="D22" s="10">
        <v>767</v>
      </c>
    </row>
    <row r="23" spans="1:4" x14ac:dyDescent="0.3">
      <c r="A23" s="8" t="s">
        <v>84</v>
      </c>
      <c r="B23" s="9" t="s">
        <v>74</v>
      </c>
      <c r="C23" s="10">
        <v>276</v>
      </c>
      <c r="D23" s="10">
        <v>192</v>
      </c>
    </row>
    <row r="24" spans="1:4" x14ac:dyDescent="0.3">
      <c r="A24" s="8" t="s">
        <v>85</v>
      </c>
      <c r="B24" s="9" t="s">
        <v>74</v>
      </c>
      <c r="C24" s="10">
        <v>816</v>
      </c>
      <c r="D24" s="10">
        <v>567</v>
      </c>
    </row>
    <row r="25" spans="1:4" x14ac:dyDescent="0.3">
      <c r="A25" s="8" t="s">
        <v>86</v>
      </c>
      <c r="B25" s="9" t="s">
        <v>74</v>
      </c>
      <c r="C25" s="10">
        <v>1140</v>
      </c>
      <c r="D25" s="10">
        <v>792</v>
      </c>
    </row>
    <row r="26" spans="1:4" x14ac:dyDescent="0.3">
      <c r="A26" s="8" t="s">
        <v>87</v>
      </c>
      <c r="B26" s="9" t="s">
        <v>74</v>
      </c>
      <c r="C26" s="10">
        <v>1644.06</v>
      </c>
      <c r="D26" s="10">
        <v>1142</v>
      </c>
    </row>
    <row r="27" spans="1:4" x14ac:dyDescent="0.3">
      <c r="A27" s="8" t="s">
        <v>57</v>
      </c>
      <c r="B27" s="9" t="s">
        <v>88</v>
      </c>
      <c r="C27" s="10">
        <v>244.2</v>
      </c>
      <c r="D27" s="10">
        <v>185</v>
      </c>
    </row>
    <row r="28" spans="1:4" x14ac:dyDescent="0.3">
      <c r="A28" s="8" t="s">
        <v>59</v>
      </c>
      <c r="B28" s="9" t="s">
        <v>89</v>
      </c>
      <c r="C28" s="10">
        <v>198</v>
      </c>
      <c r="D28" s="10"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4:H11"/>
  <sheetViews>
    <sheetView workbookViewId="0">
      <selection activeCell="H21" sqref="H21"/>
    </sheetView>
  </sheetViews>
  <sheetFormatPr defaultRowHeight="14.4" x14ac:dyDescent="0.3"/>
  <cols>
    <col min="4" max="4" width="12.5546875" style="89" bestFit="1" customWidth="1"/>
    <col min="5" max="5" width="12.5546875" bestFit="1" customWidth="1"/>
    <col min="8" max="8" width="19.77734375" customWidth="1"/>
  </cols>
  <sheetData>
    <row r="4" spans="2:8" x14ac:dyDescent="0.3">
      <c r="B4" t="s">
        <v>2</v>
      </c>
      <c r="H4" t="s">
        <v>136</v>
      </c>
    </row>
    <row r="5" spans="2:8" x14ac:dyDescent="0.3">
      <c r="D5" s="89" t="s">
        <v>117</v>
      </c>
      <c r="E5" s="89" t="s">
        <v>118</v>
      </c>
      <c r="H5" t="s">
        <v>137</v>
      </c>
    </row>
    <row r="6" spans="2:8" x14ac:dyDescent="0.3">
      <c r="B6" t="s">
        <v>116</v>
      </c>
      <c r="C6" s="88">
        <v>0.05</v>
      </c>
      <c r="D6" s="90">
        <v>435140</v>
      </c>
      <c r="E6" s="91">
        <f>D6*5/100</f>
        <v>21757</v>
      </c>
      <c r="H6" s="78">
        <v>155908</v>
      </c>
    </row>
    <row r="7" spans="2:8" x14ac:dyDescent="0.3">
      <c r="B7" t="s">
        <v>68</v>
      </c>
      <c r="C7" s="88">
        <v>0.05</v>
      </c>
      <c r="D7" s="90">
        <v>1989990</v>
      </c>
      <c r="E7" s="91">
        <f>D7*5/100</f>
        <v>99499.5</v>
      </c>
    </row>
    <row r="9" spans="2:8" x14ac:dyDescent="0.3">
      <c r="B9" t="s">
        <v>119</v>
      </c>
      <c r="C9" s="92">
        <v>1.4999999999999999E-2</v>
      </c>
      <c r="D9" s="90">
        <v>227205</v>
      </c>
      <c r="E9" s="91">
        <f>D9*1.5/100</f>
        <v>3408.0749999999998</v>
      </c>
      <c r="F9" t="s">
        <v>120</v>
      </c>
    </row>
    <row r="10" spans="2:8" x14ac:dyDescent="0.3">
      <c r="B10" t="s">
        <v>74</v>
      </c>
      <c r="C10" s="92">
        <v>1.4999999999999999E-2</v>
      </c>
      <c r="D10" s="90">
        <v>2000543</v>
      </c>
      <c r="E10" s="91">
        <f>D10*1.5/100</f>
        <v>30008.145</v>
      </c>
    </row>
    <row r="11" spans="2:8" x14ac:dyDescent="0.3">
      <c r="E11" s="91">
        <f>SUM(E6:E10)</f>
        <v>154672.72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KPI</vt:lpstr>
      <vt:lpstr>отгрузки</vt:lpstr>
      <vt:lpstr>прайс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Реутский</dc:creator>
  <cp:lastModifiedBy>a14813</cp:lastModifiedBy>
  <dcterms:created xsi:type="dcterms:W3CDTF">2025-11-25T06:11:53Z</dcterms:created>
  <dcterms:modified xsi:type="dcterms:W3CDTF">2026-07-06T13:33:52Z</dcterms:modified>
</cp:coreProperties>
</file>